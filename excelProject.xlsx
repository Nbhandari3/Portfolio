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nbhan\Documents\"/>
    </mc:Choice>
  </mc:AlternateContent>
  <xr:revisionPtr revIDLastSave="0" documentId="13_ncr:1_{E70ADBB5-6CCB-4FDB-B6BF-07EA23B7648B}" xr6:coauthVersionLast="47" xr6:coauthVersionMax="47" xr10:uidLastSave="{00000000-0000-0000-0000-000000000000}"/>
  <bookViews>
    <workbookView xWindow="14475" yWindow="15" windowWidth="14355" windowHeight="15345" xr2:uid="{44069431-EE04-4E62-914F-B3B0753F502A}"/>
  </bookViews>
  <sheets>
    <sheet name="Appointment Tracker" sheetId="1" r:id="rId1"/>
    <sheet name="Summary Report" sheetId="3" r:id="rId2"/>
  </sheets>
  <definedNames>
    <definedName name="Slicer_Appointment_Date">#N/A</definedName>
    <definedName name="Slicer_Doctor">#N/A</definedName>
  </definedNames>
  <calcPr calcId="191029"/>
  <pivotCaches>
    <pivotCache cacheId="24"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B19" i="3"/>
  <c r="B20" i="3"/>
  <c r="B21" i="3"/>
  <c r="B23" i="3"/>
</calcChain>
</file>

<file path=xl/sharedStrings.xml><?xml version="1.0" encoding="utf-8"?>
<sst xmlns="http://schemas.openxmlformats.org/spreadsheetml/2006/main" count="322" uniqueCount="112">
  <si>
    <t>Patient Name</t>
  </si>
  <si>
    <t>Patient ID</t>
  </si>
  <si>
    <t>Appointment Date</t>
  </si>
  <si>
    <t>Doctor</t>
  </si>
  <si>
    <t>Status</t>
  </si>
  <si>
    <t>John Doe</t>
  </si>
  <si>
    <t>Dr. Smith</t>
  </si>
  <si>
    <t>Completed</t>
  </si>
  <si>
    <t>Jane Roe</t>
  </si>
  <si>
    <t>Dr. Adams</t>
  </si>
  <si>
    <t>No-show</t>
  </si>
  <si>
    <t>Mike Lee</t>
  </si>
  <si>
    <t>Anna Kim</t>
  </si>
  <si>
    <t>Cancelled</t>
  </si>
  <si>
    <t>Paul Chen</t>
  </si>
  <si>
    <t>Sara Park</t>
  </si>
  <si>
    <t>Dr. Lee</t>
  </si>
  <si>
    <t>David Lin</t>
  </si>
  <si>
    <t>Emily Wong</t>
  </si>
  <si>
    <t>Kevin Tran</t>
  </si>
  <si>
    <t>Laura Kim</t>
  </si>
  <si>
    <t>Chris Evans</t>
  </si>
  <si>
    <t>Nina Patel</t>
  </si>
  <si>
    <t>Raj Singh</t>
  </si>
  <si>
    <t>Maya Shah</t>
  </si>
  <si>
    <t>Liam Brown</t>
  </si>
  <si>
    <t>Olivia Davis</t>
  </si>
  <si>
    <t>Noah Wilson</t>
  </si>
  <si>
    <t>Emma Taylor</t>
  </si>
  <si>
    <t>Ava Martinez</t>
  </si>
  <si>
    <t>Sophia Anderson</t>
  </si>
  <si>
    <t>Jackson Thomas</t>
  </si>
  <si>
    <t>Isabella Moore</t>
  </si>
  <si>
    <t>Lucas Martin</t>
  </si>
  <si>
    <t>Mia Jackson</t>
  </si>
  <si>
    <t>Ethan White</t>
  </si>
  <si>
    <t>Amelia Harris</t>
  </si>
  <si>
    <t>James Clark</t>
  </si>
  <si>
    <t>Harper Lewis</t>
  </si>
  <si>
    <t>Benjamin Young</t>
  </si>
  <si>
    <t>Evelyn Hall</t>
  </si>
  <si>
    <t>Alexander Allen</t>
  </si>
  <si>
    <t>Abigail King</t>
  </si>
  <si>
    <t>Daniel Wright</t>
  </si>
  <si>
    <t>Ella Scott</t>
  </si>
  <si>
    <t>Matthew Green</t>
  </si>
  <si>
    <t>Scarlett Baker</t>
  </si>
  <si>
    <t>Joseph Nelson</t>
  </si>
  <si>
    <t>Grace Carter</t>
  </si>
  <si>
    <t>Samuel Mitchell</t>
  </si>
  <si>
    <t>Chloe Perez</t>
  </si>
  <si>
    <t>Henry Roberts</t>
  </si>
  <si>
    <t>Victoria Turner</t>
  </si>
  <si>
    <t>Andrew Phillips</t>
  </si>
  <si>
    <t>Lily Campbell</t>
  </si>
  <si>
    <t>Joshua Parker</t>
  </si>
  <si>
    <t>Zoe Evans</t>
  </si>
  <si>
    <t>Ryan Edwards</t>
  </si>
  <si>
    <t>Hannah Collins</t>
  </si>
  <si>
    <t>Nathan Stewart</t>
  </si>
  <si>
    <t>Addison Sanchez</t>
  </si>
  <si>
    <t>Aaron Morris</t>
  </si>
  <si>
    <t>Leah Rogers</t>
  </si>
  <si>
    <t>Adam Reed</t>
  </si>
  <si>
    <t>Audrey Cook</t>
  </si>
  <si>
    <t>Isaac Morgan</t>
  </si>
  <si>
    <t>Brooklyn Bell</t>
  </si>
  <si>
    <t>Eli Murphy</t>
  </si>
  <si>
    <t>Claire Bailey</t>
  </si>
  <si>
    <t>Julian Rivera</t>
  </si>
  <si>
    <t>Skylar Cooper</t>
  </si>
  <si>
    <t>Count total appointments</t>
  </si>
  <si>
    <t>Count by status</t>
  </si>
  <si>
    <t>Ethan Brooks</t>
  </si>
  <si>
    <t>Mila Gray</t>
  </si>
  <si>
    <t>Caleb Ward</t>
  </si>
  <si>
    <t>Aria Cox</t>
  </si>
  <si>
    <t>Owen Richardson</t>
  </si>
  <si>
    <t>Layla Watson</t>
  </si>
  <si>
    <t>Jack Brooks</t>
  </si>
  <si>
    <t>Avery Sanders</t>
  </si>
  <si>
    <t>Luke Price</t>
  </si>
  <si>
    <t>Ellie Bennett</t>
  </si>
  <si>
    <t>Gabriel Wood</t>
  </si>
  <si>
    <t>Nora Barnes</t>
  </si>
  <si>
    <t>Dylan Ross</t>
  </si>
  <si>
    <t>Hazel Henderson</t>
  </si>
  <si>
    <t>Isaiah Coleman</t>
  </si>
  <si>
    <t>Violet Jenkins</t>
  </si>
  <si>
    <t>Thomas Perry</t>
  </si>
  <si>
    <t>Aurora Powell</t>
  </si>
  <si>
    <t>Charles Long</t>
  </si>
  <si>
    <t>Stella Patterson</t>
  </si>
  <si>
    <t>Josiah Hughes</t>
  </si>
  <si>
    <t>Lucy Flores</t>
  </si>
  <si>
    <t>Christopher Washington</t>
  </si>
  <si>
    <t>Paisley Butler</t>
  </si>
  <si>
    <t>Andrew Simmons</t>
  </si>
  <si>
    <t>Bella Foster</t>
  </si>
  <si>
    <t>Joshua Gonzales</t>
  </si>
  <si>
    <t>Claire Bryant</t>
  </si>
  <si>
    <t>Nathan Alexander</t>
  </si>
  <si>
    <t>Sadie Russell</t>
  </si>
  <si>
    <t>Aaron Griffin</t>
  </si>
  <si>
    <t>Caroline Diaz</t>
  </si>
  <si>
    <t>Eli Hayes</t>
  </si>
  <si>
    <t>Simon</t>
  </si>
  <si>
    <t>Dr. Chan</t>
  </si>
  <si>
    <t>Appointments</t>
  </si>
  <si>
    <t>Total Appointments</t>
  </si>
  <si>
    <t>No-show rate</t>
  </si>
  <si>
    <t>Appointment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</si>
</sst>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11"/>
      <color theme="1"/>
      <name val="Aptos Narrow"/>
      <family val="2"/>
      <scheme val="minor"/>
    </font>
    <font>
      <sz val="11"/>
      <color theme="0"/>
      <name val="Aptos Narrow"/>
      <family val="2"/>
      <scheme val="minor"/>
    </font>
    <font>
      <b/>
      <sz val="20"/>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3"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20">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wrapText="1"/>
    </xf>
    <xf numFmtId="14" fontId="0" fillId="0" borderId="0" xfId="0" applyNumberFormat="1" applyAlignment="1">
      <alignment horizontal="left"/>
    </xf>
    <xf numFmtId="0" fontId="2" fillId="0" borderId="0" xfId="0" applyFont="1"/>
    <xf numFmtId="0" fontId="4" fillId="0" borderId="0" xfId="0" applyFont="1"/>
    <xf numFmtId="0" fontId="7" fillId="0" borderId="0" xfId="0" applyFont="1"/>
    <xf numFmtId="0" fontId="0" fillId="0" borderId="1" xfId="0" pivotButton="1" applyBorder="1"/>
    <xf numFmtId="0" fontId="0" fillId="0" borderId="1" xfId="0" applyBorder="1"/>
    <xf numFmtId="0" fontId="3" fillId="3" borderId="1" xfId="0" applyFont="1" applyFill="1" applyBorder="1"/>
    <xf numFmtId="0" fontId="0" fillId="0" borderId="1" xfId="0" applyNumberFormat="1" applyBorder="1"/>
    <xf numFmtId="9" fontId="2" fillId="0" borderId="0" xfId="1" applyFont="1"/>
    <xf numFmtId="0" fontId="1" fillId="4" borderId="0" xfId="0" applyFont="1" applyFill="1" applyAlignment="1">
      <alignment horizontal="center" vertical="center" wrapText="1"/>
    </xf>
    <xf numFmtId="0" fontId="6" fillId="0" borderId="0" xfId="0" applyFont="1" applyAlignment="1">
      <alignment horizontal="center" vertical="center" wrapText="1"/>
    </xf>
    <xf numFmtId="0" fontId="8" fillId="2"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xf>
    <xf numFmtId="0" fontId="6" fillId="0" borderId="0" xfId="0" applyFont="1" applyAlignment="1">
      <alignment horizontal="center"/>
    </xf>
  </cellXfs>
  <cellStyles count="2">
    <cellStyle name="Normal" xfId="0" builtinId="0"/>
    <cellStyle name="Percent" xfId="1" builtinId="5"/>
  </cellStyles>
  <dxfs count="71">
    <dxf>
      <fill>
        <patternFill>
          <bgColor theme="8" tint="0.79998168889431442"/>
        </patternFill>
      </fill>
    </dxf>
    <dxf>
      <fill>
        <patternFill>
          <bgColor rgb="FFFFFFCC"/>
        </patternFill>
      </fill>
    </dxf>
    <dxf>
      <fill>
        <patternFill>
          <bgColor theme="6" tint="0.59996337778862885"/>
        </patternFill>
      </fill>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1" indent="0"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4" tint="0.79998168889431442"/>
        </patternFill>
      </fill>
    </dxf>
    <dxf>
      <fill>
        <patternFill patternType="solid">
          <bgColor theme="4" tint="0.79998168889431442"/>
        </patternFill>
      </fill>
    </dxf>
    <dxf>
      <font>
        <color auto="1"/>
      </font>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79998168889431442"/>
        </patternFill>
      </fill>
    </dxf>
    <dxf>
      <fill>
        <patternFill>
          <bgColor theme="8" tint="0.79998168889431442"/>
        </patternFill>
      </fill>
    </dxf>
    <dxf>
      <fill>
        <patternFill>
          <bgColor rgb="FFFFFFCC"/>
        </patternFill>
      </fill>
    </dxf>
    <dxf>
      <fill>
        <patternFill>
          <bgColor rgb="FFFF0000"/>
        </patternFill>
      </fill>
    </dxf>
    <dxf>
      <fill>
        <patternFill>
          <bgColor rgb="FFFFFF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[excelProject.xlsx]Summary Report!PivotTable2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Appointments by Doctors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 Report'!$B$5:$B$6</c:f>
              <c:strCache>
                <c:ptCount val="1"/>
                <c:pt idx="0">
                  <c:v>Cancelled</c:v>
                </c:pt>
              </c:strCache>
            </c:strRef>
          </c:tx>
          <c:spPr>
            <a:solidFill>
              <a:schemeClr val="accent4">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 Report'!$A$7:$A$10</c:f>
              <c:strCache>
                <c:ptCount val="4"/>
                <c:pt idx="0">
                  <c:v>Dr. Adams</c:v>
                </c:pt>
                <c:pt idx="1">
                  <c:v>Dr. Chan</c:v>
                </c:pt>
                <c:pt idx="2">
                  <c:v>Dr. Lee</c:v>
                </c:pt>
                <c:pt idx="3">
                  <c:v>Dr. Smith</c:v>
                </c:pt>
              </c:strCache>
            </c:strRef>
          </c:cat>
          <c:val>
            <c:numRef>
              <c:f>'Summary Report'!$B$7:$B$10</c:f>
              <c:numCache>
                <c:formatCode>General</c:formatCode>
                <c:ptCount val="4"/>
                <c:pt idx="0">
                  <c:v>9</c:v>
                </c:pt>
                <c:pt idx="1">
                  <c:v>1</c:v>
                </c:pt>
                <c:pt idx="2">
                  <c:v>7</c:v>
                </c:pt>
                <c:pt idx="3">
                  <c:v>7</c:v>
                </c:pt>
              </c:numCache>
            </c:numRef>
          </c:val>
          <c:extLst>
            <c:ext xmlns:c16="http://schemas.microsoft.com/office/drawing/2014/chart" uri="{C3380CC4-5D6E-409C-BE32-E72D297353CC}">
              <c16:uniqueId val="{0000000A-04F0-4558-B13F-FB05826B4E65}"/>
            </c:ext>
          </c:extLst>
        </c:ser>
        <c:ser>
          <c:idx val="1"/>
          <c:order val="1"/>
          <c:tx>
            <c:strRef>
              <c:f>'Summary Report'!$C$5:$C$6</c:f>
              <c:strCache>
                <c:ptCount val="1"/>
                <c:pt idx="0">
                  <c:v>Completed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 Report'!$A$7:$A$10</c:f>
              <c:strCache>
                <c:ptCount val="4"/>
                <c:pt idx="0">
                  <c:v>Dr. Adams</c:v>
                </c:pt>
                <c:pt idx="1">
                  <c:v>Dr. Chan</c:v>
                </c:pt>
                <c:pt idx="2">
                  <c:v>Dr. Lee</c:v>
                </c:pt>
                <c:pt idx="3">
                  <c:v>Dr. Smith</c:v>
                </c:pt>
              </c:strCache>
            </c:strRef>
          </c:cat>
          <c:val>
            <c:numRef>
              <c:f>'Summary Report'!$C$7:$C$10</c:f>
              <c:numCache>
                <c:formatCode>General</c:formatCode>
                <c:ptCount val="4"/>
                <c:pt idx="0">
                  <c:v>13</c:v>
                </c:pt>
                <c:pt idx="1">
                  <c:v>0</c:v>
                </c:pt>
                <c:pt idx="2">
                  <c:v>16</c:v>
                </c:pt>
                <c:pt idx="3">
                  <c:v>15</c:v>
                </c:pt>
              </c:numCache>
            </c:numRef>
          </c:val>
          <c:extLst>
            <c:ext xmlns:c16="http://schemas.microsoft.com/office/drawing/2014/chart" uri="{C3380CC4-5D6E-409C-BE32-E72D297353CC}">
              <c16:uniqueId val="{0000000B-04F0-4558-B13F-FB05826B4E65}"/>
            </c:ext>
          </c:extLst>
        </c:ser>
        <c:ser>
          <c:idx val="2"/>
          <c:order val="2"/>
          <c:tx>
            <c:strRef>
              <c:f>'Summary Report'!$D$5:$D$6</c:f>
              <c:strCache>
                <c:ptCount val="1"/>
                <c:pt idx="0">
                  <c:v>No-show</c:v>
                </c:pt>
              </c:strCache>
            </c:strRef>
          </c:tx>
          <c:spPr>
            <a:solidFill>
              <a:schemeClr val="accent4">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 Report'!$A$7:$A$10</c:f>
              <c:strCache>
                <c:ptCount val="4"/>
                <c:pt idx="0">
                  <c:v>Dr. Adams</c:v>
                </c:pt>
                <c:pt idx="1">
                  <c:v>Dr. Chan</c:v>
                </c:pt>
                <c:pt idx="2">
                  <c:v>Dr. Lee</c:v>
                </c:pt>
                <c:pt idx="3">
                  <c:v>Dr. Smith</c:v>
                </c:pt>
              </c:strCache>
            </c:strRef>
          </c:cat>
          <c:val>
            <c:numRef>
              <c:f>'Summary Report'!$D$7:$D$10</c:f>
              <c:numCache>
                <c:formatCode>General</c:formatCode>
                <c:ptCount val="4"/>
                <c:pt idx="0">
                  <c:v>9</c:v>
                </c:pt>
                <c:pt idx="1">
                  <c:v>0</c:v>
                </c:pt>
                <c:pt idx="2">
                  <c:v>6</c:v>
                </c:pt>
                <c:pt idx="3">
                  <c:v>10</c:v>
                </c:pt>
              </c:numCache>
            </c:numRef>
          </c:val>
          <c:extLst>
            <c:ext xmlns:c16="http://schemas.microsoft.com/office/drawing/2014/chart" uri="{C3380CC4-5D6E-409C-BE32-E72D297353CC}">
              <c16:uniqueId val="{0000000C-04F0-4558-B13F-FB05826B4E65}"/>
            </c:ext>
          </c:extLst>
        </c:ser>
        <c:dLbls>
          <c:dLblPos val="inEnd"/>
          <c:showLegendKey val="0"/>
          <c:showVal val="1"/>
          <c:showCatName val="0"/>
          <c:showSerName val="0"/>
          <c:showPercent val="0"/>
          <c:showBubbleSize val="0"/>
        </c:dLbls>
        <c:gapWidth val="65"/>
        <c:overlap val="100"/>
        <c:axId val="221147183"/>
        <c:axId val="221146223"/>
      </c:barChart>
      <c:catAx>
        <c:axId val="221147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1146223"/>
        <c:crosses val="autoZero"/>
        <c:auto val="1"/>
        <c:lblAlgn val="ctr"/>
        <c:lblOffset val="100"/>
        <c:noMultiLvlLbl val="0"/>
      </c:catAx>
      <c:valAx>
        <c:axId val="2211462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21147183"/>
        <c:crosses val="autoZero"/>
        <c:crossBetween val="between"/>
      </c:valAx>
      <c:spPr>
        <a:noFill/>
        <a:ln>
          <a:noFill/>
        </a:ln>
        <a:effectLst/>
      </c:spPr>
    </c:plotArea>
    <c:legend>
      <c:legendPos val="r"/>
      <c:layout>
        <c:manualLayout>
          <c:xMode val="edge"/>
          <c:yMode val="edge"/>
          <c:x val="0.88641057414291613"/>
          <c:y val="6.0611153188428524E-2"/>
          <c:w val="0.11358948552483571"/>
          <c:h val="0.1322270772224143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[excelProject.xlsx]Summary Report!PivotTable2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Appointment Summary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tint val="58000"/>
            </a:schemeClr>
          </a:solidFill>
          <a:ln>
            <a:noFill/>
          </a:ln>
          <a:effectLst>
            <a:outerShdw blurRad="254000" sx="102000" sy="102000" algn="ctr" rotWithShape="0">
              <a:prstClr val="black">
                <a:alpha val="20000"/>
              </a:prstClr>
            </a:outerShdw>
          </a:effectLst>
        </c:spPr>
        <c:dLbl>
          <c:idx val="0"/>
          <c:layout>
            <c:manualLayout>
              <c:x val="-0.15712970253718286"/>
              <c:y val="5.39045640128317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tint val="86000"/>
            </a:schemeClr>
          </a:solidFill>
          <a:ln>
            <a:noFill/>
          </a:ln>
          <a:effectLst>
            <a:outerShdw blurRad="254000" sx="102000" sy="102000" algn="ctr" rotWithShape="0">
              <a:prstClr val="black">
                <a:alpha val="20000"/>
              </a:prstClr>
            </a:outerShdw>
          </a:effectLst>
        </c:spPr>
        <c:dLbl>
          <c:idx val="0"/>
          <c:layout>
            <c:manualLayout>
              <c:x val="-4.3604549431321082E-2"/>
              <c:y val="-0.162068022747156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hade val="86000"/>
            </a:schemeClr>
          </a:solidFill>
          <a:ln>
            <a:noFill/>
          </a:ln>
          <a:effectLst>
            <a:outerShdw blurRad="254000" sx="102000" sy="102000" algn="ctr" rotWithShape="0">
              <a:prstClr val="black">
                <a:alpha val="20000"/>
              </a:prstClr>
            </a:outerShdw>
          </a:effectLst>
        </c:spPr>
        <c:dLbl>
          <c:idx val="0"/>
          <c:layout>
            <c:manualLayout>
              <c:x val="2.8211504811898463E-2"/>
              <c:y val="-0.2036796442111403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hade val="58000"/>
            </a:schemeClr>
          </a:solidFill>
          <a:ln>
            <a:noFill/>
          </a:ln>
          <a:effectLst>
            <a:outerShdw blurRad="254000" sx="102000" sy="102000" algn="ctr" rotWithShape="0">
              <a:prstClr val="black">
                <a:alpha val="20000"/>
              </a:prstClr>
            </a:outerShdw>
          </a:effectLst>
        </c:spPr>
        <c:dLbl>
          <c:idx val="0"/>
          <c:layout>
            <c:manualLayout>
              <c:x val="0.14287685914260717"/>
              <c:y val="8.59281131525226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tint val="58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4">
              <a:tint val="86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4">
              <a:shade val="86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4">
              <a:shade val="58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4">
              <a:tint val="58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4">
              <a:tint val="86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4">
              <a:shade val="86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4">
              <a:shade val="58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'Summary Report'!$B$5:$B$6</c:f>
              <c:strCache>
                <c:ptCount val="1"/>
                <c:pt idx="0">
                  <c:v>Cancelled</c:v>
                </c:pt>
              </c:strCache>
            </c:strRef>
          </c:tx>
          <c:dPt>
            <c:idx val="0"/>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7C-4C48-BC0D-909769BBABFA}"/>
              </c:ext>
            </c:extLst>
          </c:dPt>
          <c:dPt>
            <c:idx val="1"/>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7C-4C48-BC0D-909769BBABFA}"/>
              </c:ext>
            </c:extLst>
          </c:dPt>
          <c:dPt>
            <c:idx val="2"/>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7C-4C48-BC0D-909769BBABFA}"/>
              </c:ext>
            </c:extLst>
          </c:dPt>
          <c:dPt>
            <c:idx val="3"/>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7C-4C48-BC0D-909769BBABFA}"/>
              </c:ext>
            </c:extLst>
          </c:dPt>
          <c:dLbls>
            <c:dLbl>
              <c:idx val="0"/>
              <c:layout>
                <c:manualLayout>
                  <c:x val="-0.15712970253718286"/>
                  <c:y val="5.39045640128317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7C-4C48-BC0D-909769BBABFA}"/>
                </c:ext>
              </c:extLst>
            </c:dLbl>
            <c:dLbl>
              <c:idx val="1"/>
              <c:layout>
                <c:manualLayout>
                  <c:x val="-4.3604549431321082E-2"/>
                  <c:y val="-0.1620680227471565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7C-4C48-BC0D-909769BBABFA}"/>
                </c:ext>
              </c:extLst>
            </c:dLbl>
            <c:dLbl>
              <c:idx val="2"/>
              <c:layout>
                <c:manualLayout>
                  <c:x val="2.8211504811898463E-2"/>
                  <c:y val="-0.203679644211140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A7C-4C48-BC0D-909769BBABFA}"/>
                </c:ext>
              </c:extLst>
            </c:dLbl>
            <c:dLbl>
              <c:idx val="3"/>
              <c:layout>
                <c:manualLayout>
                  <c:x val="0.14287685914260717"/>
                  <c:y val="8.59281131525226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A7C-4C48-BC0D-909769BBABF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 Report'!$A$7:$A$10</c:f>
              <c:strCache>
                <c:ptCount val="4"/>
                <c:pt idx="0">
                  <c:v>Dr. Adams</c:v>
                </c:pt>
                <c:pt idx="1">
                  <c:v>Dr. Chan</c:v>
                </c:pt>
                <c:pt idx="2">
                  <c:v>Dr. Lee</c:v>
                </c:pt>
                <c:pt idx="3">
                  <c:v>Dr. Smith</c:v>
                </c:pt>
              </c:strCache>
            </c:strRef>
          </c:cat>
          <c:val>
            <c:numRef>
              <c:f>'Summary Report'!$B$7:$B$10</c:f>
              <c:numCache>
                <c:formatCode>General</c:formatCode>
                <c:ptCount val="4"/>
                <c:pt idx="0">
                  <c:v>9</c:v>
                </c:pt>
                <c:pt idx="1">
                  <c:v>1</c:v>
                </c:pt>
                <c:pt idx="2">
                  <c:v>7</c:v>
                </c:pt>
                <c:pt idx="3">
                  <c:v>7</c:v>
                </c:pt>
              </c:numCache>
            </c:numRef>
          </c:val>
          <c:extLst>
            <c:ext xmlns:c16="http://schemas.microsoft.com/office/drawing/2014/chart" uri="{C3380CC4-5D6E-409C-BE32-E72D297353CC}">
              <c16:uniqueId val="{00000010-C8FE-4E29-8D54-600964F135FA}"/>
            </c:ext>
          </c:extLst>
        </c:ser>
        <c:ser>
          <c:idx val="1"/>
          <c:order val="1"/>
          <c:tx>
            <c:strRef>
              <c:f>'Summary Report'!$C$5:$C$6</c:f>
              <c:strCache>
                <c:ptCount val="1"/>
                <c:pt idx="0">
                  <c:v>Completed</c:v>
                </c:pt>
              </c:strCache>
            </c:strRef>
          </c:tx>
          <c:dPt>
            <c:idx val="0"/>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A7C-4C48-BC0D-909769BBABFA}"/>
              </c:ext>
            </c:extLst>
          </c:dPt>
          <c:dPt>
            <c:idx val="1"/>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A7C-4C48-BC0D-909769BBABFA}"/>
              </c:ext>
            </c:extLst>
          </c:dPt>
          <c:dPt>
            <c:idx val="2"/>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A7C-4C48-BC0D-909769BBABFA}"/>
              </c:ext>
            </c:extLst>
          </c:dPt>
          <c:dPt>
            <c:idx val="3"/>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A7C-4C48-BC0D-909769BBAB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 Report'!$A$7:$A$10</c:f>
              <c:strCache>
                <c:ptCount val="4"/>
                <c:pt idx="0">
                  <c:v>Dr. Adams</c:v>
                </c:pt>
                <c:pt idx="1">
                  <c:v>Dr. Chan</c:v>
                </c:pt>
                <c:pt idx="2">
                  <c:v>Dr. Lee</c:v>
                </c:pt>
                <c:pt idx="3">
                  <c:v>Dr. Smith</c:v>
                </c:pt>
              </c:strCache>
            </c:strRef>
          </c:cat>
          <c:val>
            <c:numRef>
              <c:f>'Summary Report'!$C$7:$C$10</c:f>
              <c:numCache>
                <c:formatCode>General</c:formatCode>
                <c:ptCount val="4"/>
                <c:pt idx="0">
                  <c:v>13</c:v>
                </c:pt>
                <c:pt idx="1">
                  <c:v>0</c:v>
                </c:pt>
                <c:pt idx="2">
                  <c:v>16</c:v>
                </c:pt>
                <c:pt idx="3">
                  <c:v>15</c:v>
                </c:pt>
              </c:numCache>
            </c:numRef>
          </c:val>
          <c:extLst>
            <c:ext xmlns:c16="http://schemas.microsoft.com/office/drawing/2014/chart" uri="{C3380CC4-5D6E-409C-BE32-E72D297353CC}">
              <c16:uniqueId val="{00000011-C8FE-4E29-8D54-600964F135FA}"/>
            </c:ext>
          </c:extLst>
        </c:ser>
        <c:ser>
          <c:idx val="2"/>
          <c:order val="2"/>
          <c:tx>
            <c:strRef>
              <c:f>'Summary Report'!$D$5:$D$6</c:f>
              <c:strCache>
                <c:ptCount val="1"/>
                <c:pt idx="0">
                  <c:v>No-show</c:v>
                </c:pt>
              </c:strCache>
            </c:strRef>
          </c:tx>
          <c:dPt>
            <c:idx val="0"/>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A7C-4C48-BC0D-909769BBABFA}"/>
              </c:ext>
            </c:extLst>
          </c:dPt>
          <c:dPt>
            <c:idx val="1"/>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A7C-4C48-BC0D-909769BBABFA}"/>
              </c:ext>
            </c:extLst>
          </c:dPt>
          <c:dPt>
            <c:idx val="2"/>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EA7C-4C48-BC0D-909769BBABFA}"/>
              </c:ext>
            </c:extLst>
          </c:dPt>
          <c:dPt>
            <c:idx val="3"/>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EA7C-4C48-BC0D-909769BBAB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 Report'!$A$7:$A$10</c:f>
              <c:strCache>
                <c:ptCount val="4"/>
                <c:pt idx="0">
                  <c:v>Dr. Adams</c:v>
                </c:pt>
                <c:pt idx="1">
                  <c:v>Dr. Chan</c:v>
                </c:pt>
                <c:pt idx="2">
                  <c:v>Dr. Lee</c:v>
                </c:pt>
                <c:pt idx="3">
                  <c:v>Dr. Smith</c:v>
                </c:pt>
              </c:strCache>
            </c:strRef>
          </c:cat>
          <c:val>
            <c:numRef>
              <c:f>'Summary Report'!$D$7:$D$10</c:f>
              <c:numCache>
                <c:formatCode>General</c:formatCode>
                <c:ptCount val="4"/>
                <c:pt idx="0">
                  <c:v>9</c:v>
                </c:pt>
                <c:pt idx="1">
                  <c:v>0</c:v>
                </c:pt>
                <c:pt idx="2">
                  <c:v>6</c:v>
                </c:pt>
                <c:pt idx="3">
                  <c:v>10</c:v>
                </c:pt>
              </c:numCache>
            </c:numRef>
          </c:val>
          <c:extLst>
            <c:ext xmlns:c16="http://schemas.microsoft.com/office/drawing/2014/chart" uri="{C3380CC4-5D6E-409C-BE32-E72D297353CC}">
              <c16:uniqueId val="{00000012-C8FE-4E29-8D54-600964F135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342900</xdr:colOff>
      <xdr:row>1</xdr:row>
      <xdr:rowOff>180976</xdr:rowOff>
    </xdr:from>
    <xdr:to>
      <xdr:col>11</xdr:col>
      <xdr:colOff>523875</xdr:colOff>
      <xdr:row>34</xdr:row>
      <xdr:rowOff>152400</xdr:rowOff>
    </xdr:to>
    <xdr:graphicFrame macro="">
      <xdr:nvGraphicFramePr>
        <xdr:cNvPr id="2" name="Chart 1">
          <a:extLst>
            <a:ext uri="{FF2B5EF4-FFF2-40B4-BE49-F238E27FC236}">
              <a16:creationId xmlns:a16="http://schemas.microsoft.com/office/drawing/2014/main" id="{6410AB85-8AAB-3462-7596-81D099102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438150</xdr:colOff>
      <xdr:row>22</xdr:row>
      <xdr:rowOff>152400</xdr:rowOff>
    </xdr:from>
    <xdr:to>
      <xdr:col>15</xdr:col>
      <xdr:colOff>590550</xdr:colOff>
      <xdr:row>30</xdr:row>
      <xdr:rowOff>180975</xdr:rowOff>
    </xdr:to>
    <mc:AlternateContent xmlns:mc="http://schemas.openxmlformats.org/markup-compatibility/2006">
      <mc:Choice xmlns:a14="http://schemas.microsoft.com/office/drawing/2010/main" Requires="a14">
        <xdr:graphicFrame macro="">
          <xdr:nvGraphicFramePr>
            <xdr:cNvPr id="3" name="Doctor">
              <a:extLst>
                <a:ext uri="{FF2B5EF4-FFF2-40B4-BE49-F238E27FC236}">
                  <a16:creationId xmlns:a16="http://schemas.microsoft.com/office/drawing/2014/main" id="{B089519E-6336-6D3C-7803-6B792F375270}"/>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0991850" y="4486275"/>
              <a:ext cx="253365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47624</xdr:colOff>
      <xdr:row>18</xdr:row>
      <xdr:rowOff>171450</xdr:rowOff>
    </xdr:from>
    <xdr:to>
      <xdr:col>21</xdr:col>
      <xdr:colOff>19049</xdr:colOff>
      <xdr:row>32</xdr:row>
      <xdr:rowOff>171450</xdr:rowOff>
    </xdr:to>
    <mc:AlternateContent xmlns:mc="http://schemas.openxmlformats.org/markup-compatibility/2006">
      <mc:Choice xmlns:a14="http://schemas.microsoft.com/office/drawing/2010/main" Requires="a14">
        <xdr:graphicFrame macro="">
          <xdr:nvGraphicFramePr>
            <xdr:cNvPr id="4" name="Appointment Date">
              <a:extLst>
                <a:ext uri="{FF2B5EF4-FFF2-40B4-BE49-F238E27FC236}">
                  <a16:creationId xmlns:a16="http://schemas.microsoft.com/office/drawing/2014/main" id="{4BE9B662-D21B-5DCE-1489-0CBE1AD21F5E}"/>
                </a:ext>
              </a:extLst>
            </xdr:cNvPr>
            <xdr:cNvGraphicFramePr/>
          </xdr:nvGraphicFramePr>
          <xdr:xfrm>
            <a:off x="0" y="0"/>
            <a:ext cx="0" cy="0"/>
          </xdr:xfrm>
          <a:graphic>
            <a:graphicData uri="http://schemas.microsoft.com/office/drawing/2010/slicer">
              <sle:slicer xmlns:sle="http://schemas.microsoft.com/office/drawing/2010/slicer" name="Appointment Date"/>
            </a:graphicData>
          </a:graphic>
        </xdr:graphicFrame>
      </mc:Choice>
      <mc:Fallback>
        <xdr:sp macro="" textlink="">
          <xdr:nvSpPr>
            <xdr:cNvPr id="0" name=""/>
            <xdr:cNvSpPr>
              <a:spLocks noTextEdit="1"/>
            </xdr:cNvSpPr>
          </xdr:nvSpPr>
          <xdr:spPr>
            <a:xfrm>
              <a:off x="14363699" y="3743325"/>
              <a:ext cx="24860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495300</xdr:colOff>
      <xdr:row>1</xdr:row>
      <xdr:rowOff>185737</xdr:rowOff>
    </xdr:from>
    <xdr:to>
      <xdr:col>20</xdr:col>
      <xdr:colOff>142875</xdr:colOff>
      <xdr:row>16</xdr:row>
      <xdr:rowOff>71437</xdr:rowOff>
    </xdr:to>
    <xdr:graphicFrame macro="">
      <xdr:nvGraphicFramePr>
        <xdr:cNvPr id="6" name="Chart 5">
          <a:extLst>
            <a:ext uri="{FF2B5EF4-FFF2-40B4-BE49-F238E27FC236}">
              <a16:creationId xmlns:a16="http://schemas.microsoft.com/office/drawing/2014/main" id="{AFF20595-E574-C785-451E-67793F890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ka Bhandari" refreshedDate="46121.936442939812" createdVersion="8" refreshedVersion="8" minRefreshableVersion="3" recordCount="100" xr:uid="{E4AADA32-CFB9-4BC2-917C-B8D010882ED4}">
  <cacheSource type="worksheet">
    <worksheetSource ref="A1:E101" sheet="Appointment Tracker"/>
  </cacheSource>
  <cacheFields count="7">
    <cacheField name="Patient Name" numFmtId="0">
      <sharedItems/>
    </cacheField>
    <cacheField name="Patient ID" numFmtId="0">
      <sharedItems containsSemiMixedTypes="0" containsString="0" containsNumber="1" containsInteger="1" minValue="1001" maxValue="1187"/>
    </cacheField>
    <cacheField name="Appointment Date" numFmtId="14">
      <sharedItems containsSemiMixedTypes="0" containsNonDate="0" containsDate="1" containsString="0" minDate="2026-04-01T00:00:00" maxDate="2026-07-05T00:00:00" count="94">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sharedItems>
      <fieldGroup par="6"/>
    </cacheField>
    <cacheField name="Doctor" numFmtId="0">
      <sharedItems count="4">
        <s v="Dr. Smith"/>
        <s v="Dr. Adams"/>
        <s v="Dr. Lee"/>
        <s v="Dr. Chan"/>
      </sharedItems>
    </cacheField>
    <cacheField name="Status" numFmtId="0">
      <sharedItems count="3">
        <s v="No-show"/>
        <s v="Cancelled"/>
        <s v="Completed"/>
      </sharedItems>
    </cacheField>
    <cacheField name="Days (Appointment Date)" numFmtId="0" databaseField="0">
      <fieldGroup base="2">
        <rangePr groupBy="days" startDate="2026-04-01T00:00:00" endDate="2026-07-05T00:00:00"/>
        <groupItems count="368">
          <s v="&lt;4/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5/2026"/>
        </groupItems>
      </fieldGroup>
    </cacheField>
    <cacheField name="Months (Appointment Date)" numFmtId="0" databaseField="0">
      <fieldGroup base="2">
        <rangePr groupBy="months" startDate="2026-04-01T00:00:00" endDate="2026-07-05T00:00:00"/>
        <groupItems count="14">
          <s v="&lt;4/1/2026"/>
          <s v="Jan"/>
          <s v="Feb"/>
          <s v="Mar"/>
          <s v="Apr"/>
          <s v="May"/>
          <s v="Jun"/>
          <s v="Jul"/>
          <s v="Aug"/>
          <s v="Sep"/>
          <s v="Oct"/>
          <s v="Nov"/>
          <s v="Dec"/>
          <s v="&gt;7/5/2026"/>
        </groupItems>
      </fieldGroup>
    </cacheField>
  </cacheFields>
  <extLst>
    <ext xmlns:x14="http://schemas.microsoft.com/office/spreadsheetml/2009/9/main" uri="{725AE2AE-9491-48be-B2B4-4EB974FC3084}">
      <x14:pivotCacheDefinition pivotCacheId="179519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John Doe"/>
    <n v="1001"/>
    <x v="0"/>
    <x v="0"/>
    <x v="0"/>
  </r>
  <r>
    <s v="Jane Roe"/>
    <n v="1002"/>
    <x v="1"/>
    <x v="1"/>
    <x v="1"/>
  </r>
  <r>
    <s v="Mike Lee"/>
    <n v="1003"/>
    <x v="2"/>
    <x v="0"/>
    <x v="2"/>
  </r>
  <r>
    <s v="Anna Kim"/>
    <n v="1004"/>
    <x v="3"/>
    <x v="1"/>
    <x v="1"/>
  </r>
  <r>
    <s v="Paul Chen"/>
    <n v="1005"/>
    <x v="4"/>
    <x v="0"/>
    <x v="0"/>
  </r>
  <r>
    <s v="Sara Park"/>
    <n v="1006"/>
    <x v="5"/>
    <x v="2"/>
    <x v="2"/>
  </r>
  <r>
    <s v="John Doe"/>
    <n v="1001"/>
    <x v="0"/>
    <x v="0"/>
    <x v="2"/>
  </r>
  <r>
    <s v="Jane Roe"/>
    <n v="1002"/>
    <x v="1"/>
    <x v="1"/>
    <x v="0"/>
  </r>
  <r>
    <s v="Mike Lee"/>
    <n v="1003"/>
    <x v="2"/>
    <x v="2"/>
    <x v="2"/>
  </r>
  <r>
    <s v="Anna Kim"/>
    <n v="1004"/>
    <x v="3"/>
    <x v="0"/>
    <x v="1"/>
  </r>
  <r>
    <s v="Paul Chen"/>
    <n v="1005"/>
    <x v="4"/>
    <x v="1"/>
    <x v="0"/>
  </r>
  <r>
    <s v="Sara Park"/>
    <n v="1006"/>
    <x v="5"/>
    <x v="2"/>
    <x v="2"/>
  </r>
  <r>
    <s v="David Lin"/>
    <n v="1007"/>
    <x v="6"/>
    <x v="0"/>
    <x v="2"/>
  </r>
  <r>
    <s v="Emily Wong"/>
    <n v="1008"/>
    <x v="7"/>
    <x v="1"/>
    <x v="1"/>
  </r>
  <r>
    <s v="Kevin Tran"/>
    <n v="1009"/>
    <x v="8"/>
    <x v="2"/>
    <x v="2"/>
  </r>
  <r>
    <s v="Laura Kim"/>
    <n v="1010"/>
    <x v="9"/>
    <x v="0"/>
    <x v="0"/>
  </r>
  <r>
    <s v="Chris Evans"/>
    <n v="1011"/>
    <x v="10"/>
    <x v="1"/>
    <x v="2"/>
  </r>
  <r>
    <s v="Nina Patel"/>
    <n v="1012"/>
    <x v="11"/>
    <x v="2"/>
    <x v="1"/>
  </r>
  <r>
    <s v="Raj Singh"/>
    <n v="1013"/>
    <x v="12"/>
    <x v="0"/>
    <x v="0"/>
  </r>
  <r>
    <s v="Maya Shah"/>
    <n v="1014"/>
    <x v="13"/>
    <x v="1"/>
    <x v="0"/>
  </r>
  <r>
    <s v="Liam Brown"/>
    <n v="1015"/>
    <x v="14"/>
    <x v="2"/>
    <x v="2"/>
  </r>
  <r>
    <s v="Olivia Davis"/>
    <n v="1016"/>
    <x v="15"/>
    <x v="0"/>
    <x v="1"/>
  </r>
  <r>
    <s v="Noah Wilson"/>
    <n v="1017"/>
    <x v="16"/>
    <x v="1"/>
    <x v="2"/>
  </r>
  <r>
    <s v="Emma Taylor"/>
    <n v="1018"/>
    <x v="17"/>
    <x v="2"/>
    <x v="0"/>
  </r>
  <r>
    <s v="Ava Martinez"/>
    <n v="1019"/>
    <x v="18"/>
    <x v="0"/>
    <x v="2"/>
  </r>
  <r>
    <s v="Sophia Anderson"/>
    <n v="1020"/>
    <x v="19"/>
    <x v="1"/>
    <x v="1"/>
  </r>
  <r>
    <s v="Jackson Thomas"/>
    <n v="1021"/>
    <x v="20"/>
    <x v="2"/>
    <x v="2"/>
  </r>
  <r>
    <s v="Isabella Moore"/>
    <n v="1022"/>
    <x v="21"/>
    <x v="0"/>
    <x v="0"/>
  </r>
  <r>
    <s v="Lucas Martin"/>
    <n v="1023"/>
    <x v="22"/>
    <x v="1"/>
    <x v="2"/>
  </r>
  <r>
    <s v="Mia Jackson"/>
    <n v="1024"/>
    <x v="23"/>
    <x v="2"/>
    <x v="1"/>
  </r>
  <r>
    <s v="Ethan White"/>
    <n v="1025"/>
    <x v="24"/>
    <x v="0"/>
    <x v="2"/>
  </r>
  <r>
    <s v="Amelia Harris"/>
    <n v="1026"/>
    <x v="25"/>
    <x v="1"/>
    <x v="0"/>
  </r>
  <r>
    <s v="James Clark"/>
    <n v="1027"/>
    <x v="26"/>
    <x v="2"/>
    <x v="2"/>
  </r>
  <r>
    <s v="Harper Lewis"/>
    <n v="1028"/>
    <x v="27"/>
    <x v="0"/>
    <x v="1"/>
  </r>
  <r>
    <s v="Benjamin Young"/>
    <n v="1029"/>
    <x v="28"/>
    <x v="1"/>
    <x v="2"/>
  </r>
  <r>
    <s v="Evelyn Hall"/>
    <n v="1030"/>
    <x v="29"/>
    <x v="2"/>
    <x v="0"/>
  </r>
  <r>
    <s v="Alexander Allen"/>
    <n v="1031"/>
    <x v="30"/>
    <x v="0"/>
    <x v="2"/>
  </r>
  <r>
    <s v="Abigail King"/>
    <n v="1032"/>
    <x v="31"/>
    <x v="1"/>
    <x v="1"/>
  </r>
  <r>
    <s v="Daniel Wright"/>
    <n v="1033"/>
    <x v="32"/>
    <x v="2"/>
    <x v="2"/>
  </r>
  <r>
    <s v="Ella Scott"/>
    <n v="1034"/>
    <x v="33"/>
    <x v="0"/>
    <x v="0"/>
  </r>
  <r>
    <s v="Matthew Green"/>
    <n v="1035"/>
    <x v="34"/>
    <x v="1"/>
    <x v="2"/>
  </r>
  <r>
    <s v="Scarlett Baker"/>
    <n v="1036"/>
    <x v="35"/>
    <x v="2"/>
    <x v="1"/>
  </r>
  <r>
    <s v="Joseph Nelson"/>
    <n v="1037"/>
    <x v="36"/>
    <x v="0"/>
    <x v="2"/>
  </r>
  <r>
    <s v="Grace Carter"/>
    <n v="1038"/>
    <x v="37"/>
    <x v="1"/>
    <x v="0"/>
  </r>
  <r>
    <s v="Samuel Mitchell"/>
    <n v="1039"/>
    <x v="38"/>
    <x v="2"/>
    <x v="2"/>
  </r>
  <r>
    <s v="Chloe Perez"/>
    <n v="1040"/>
    <x v="39"/>
    <x v="0"/>
    <x v="1"/>
  </r>
  <r>
    <s v="Henry Roberts"/>
    <n v="1041"/>
    <x v="40"/>
    <x v="1"/>
    <x v="2"/>
  </r>
  <r>
    <s v="Victoria Turner"/>
    <n v="1042"/>
    <x v="41"/>
    <x v="2"/>
    <x v="0"/>
  </r>
  <r>
    <s v="Andrew Phillips"/>
    <n v="1043"/>
    <x v="42"/>
    <x v="0"/>
    <x v="2"/>
  </r>
  <r>
    <s v="Lily Campbell"/>
    <n v="1044"/>
    <x v="43"/>
    <x v="1"/>
    <x v="1"/>
  </r>
  <r>
    <s v="Joshua Parker"/>
    <n v="1045"/>
    <x v="44"/>
    <x v="2"/>
    <x v="2"/>
  </r>
  <r>
    <s v="Zoe Evans"/>
    <n v="1046"/>
    <x v="45"/>
    <x v="0"/>
    <x v="0"/>
  </r>
  <r>
    <s v="Ryan Edwards"/>
    <n v="1047"/>
    <x v="46"/>
    <x v="1"/>
    <x v="2"/>
  </r>
  <r>
    <s v="Hannah Collins"/>
    <n v="1048"/>
    <x v="47"/>
    <x v="2"/>
    <x v="1"/>
  </r>
  <r>
    <s v="Nathan Stewart"/>
    <n v="1049"/>
    <x v="48"/>
    <x v="0"/>
    <x v="2"/>
  </r>
  <r>
    <s v="Addison Sanchez"/>
    <n v="1050"/>
    <x v="49"/>
    <x v="1"/>
    <x v="0"/>
  </r>
  <r>
    <s v="Aaron Morris"/>
    <n v="1051"/>
    <x v="50"/>
    <x v="2"/>
    <x v="2"/>
  </r>
  <r>
    <s v="Leah Rogers"/>
    <n v="1052"/>
    <x v="51"/>
    <x v="0"/>
    <x v="1"/>
  </r>
  <r>
    <s v="Adam Reed"/>
    <n v="1053"/>
    <x v="52"/>
    <x v="1"/>
    <x v="2"/>
  </r>
  <r>
    <s v="Audrey Cook"/>
    <n v="1054"/>
    <x v="53"/>
    <x v="2"/>
    <x v="0"/>
  </r>
  <r>
    <s v="Isaac Morgan"/>
    <n v="1055"/>
    <x v="54"/>
    <x v="0"/>
    <x v="2"/>
  </r>
  <r>
    <s v="Brooklyn Bell"/>
    <n v="1056"/>
    <x v="55"/>
    <x v="1"/>
    <x v="1"/>
  </r>
  <r>
    <s v="Eli Murphy"/>
    <n v="1057"/>
    <x v="56"/>
    <x v="2"/>
    <x v="2"/>
  </r>
  <r>
    <s v="Claire Bailey"/>
    <n v="1058"/>
    <x v="57"/>
    <x v="0"/>
    <x v="0"/>
  </r>
  <r>
    <s v="Julian Rivera"/>
    <n v="1059"/>
    <x v="58"/>
    <x v="1"/>
    <x v="2"/>
  </r>
  <r>
    <s v="Skylar Cooper"/>
    <n v="1060"/>
    <x v="59"/>
    <x v="2"/>
    <x v="1"/>
  </r>
  <r>
    <s v="Ethan Brooks"/>
    <n v="1154"/>
    <x v="60"/>
    <x v="0"/>
    <x v="2"/>
  </r>
  <r>
    <s v="Mila Gray"/>
    <n v="1155"/>
    <x v="61"/>
    <x v="1"/>
    <x v="0"/>
  </r>
  <r>
    <s v="Caleb Ward"/>
    <n v="1156"/>
    <x v="62"/>
    <x v="2"/>
    <x v="2"/>
  </r>
  <r>
    <s v="Aria Cox"/>
    <n v="1157"/>
    <x v="63"/>
    <x v="0"/>
    <x v="1"/>
  </r>
  <r>
    <s v="Owen Richardson"/>
    <n v="1158"/>
    <x v="64"/>
    <x v="1"/>
    <x v="2"/>
  </r>
  <r>
    <s v="Layla Watson"/>
    <n v="1159"/>
    <x v="65"/>
    <x v="2"/>
    <x v="0"/>
  </r>
  <r>
    <s v="Jack Brooks"/>
    <n v="1160"/>
    <x v="66"/>
    <x v="0"/>
    <x v="2"/>
  </r>
  <r>
    <s v="Avery Sanders"/>
    <n v="1161"/>
    <x v="67"/>
    <x v="1"/>
    <x v="1"/>
  </r>
  <r>
    <s v="Luke Price"/>
    <n v="1162"/>
    <x v="68"/>
    <x v="2"/>
    <x v="2"/>
  </r>
  <r>
    <s v="Ellie Bennett"/>
    <n v="1163"/>
    <x v="69"/>
    <x v="0"/>
    <x v="0"/>
  </r>
  <r>
    <s v="Gabriel Wood"/>
    <n v="1164"/>
    <x v="70"/>
    <x v="1"/>
    <x v="2"/>
  </r>
  <r>
    <s v="Nora Barnes"/>
    <n v="1165"/>
    <x v="71"/>
    <x v="2"/>
    <x v="1"/>
  </r>
  <r>
    <s v="Dylan Ross"/>
    <n v="1166"/>
    <x v="72"/>
    <x v="0"/>
    <x v="2"/>
  </r>
  <r>
    <s v="Hazel Henderson"/>
    <n v="1167"/>
    <x v="73"/>
    <x v="1"/>
    <x v="0"/>
  </r>
  <r>
    <s v="Isaiah Coleman"/>
    <n v="1168"/>
    <x v="74"/>
    <x v="2"/>
    <x v="2"/>
  </r>
  <r>
    <s v="Violet Jenkins"/>
    <n v="1169"/>
    <x v="75"/>
    <x v="0"/>
    <x v="1"/>
  </r>
  <r>
    <s v="Thomas Perry"/>
    <n v="1170"/>
    <x v="76"/>
    <x v="1"/>
    <x v="2"/>
  </r>
  <r>
    <s v="Aurora Powell"/>
    <n v="1171"/>
    <x v="77"/>
    <x v="2"/>
    <x v="0"/>
  </r>
  <r>
    <s v="Charles Long"/>
    <n v="1172"/>
    <x v="78"/>
    <x v="0"/>
    <x v="2"/>
  </r>
  <r>
    <s v="Stella Patterson"/>
    <n v="1173"/>
    <x v="79"/>
    <x v="1"/>
    <x v="1"/>
  </r>
  <r>
    <s v="Josiah Hughes"/>
    <n v="1174"/>
    <x v="80"/>
    <x v="2"/>
    <x v="2"/>
  </r>
  <r>
    <s v="Lucy Flores"/>
    <n v="1175"/>
    <x v="81"/>
    <x v="0"/>
    <x v="0"/>
  </r>
  <r>
    <s v="Christopher Washington"/>
    <n v="1176"/>
    <x v="82"/>
    <x v="1"/>
    <x v="2"/>
  </r>
  <r>
    <s v="Paisley Butler"/>
    <n v="1177"/>
    <x v="83"/>
    <x v="2"/>
    <x v="1"/>
  </r>
  <r>
    <s v="Andrew Simmons"/>
    <n v="1178"/>
    <x v="84"/>
    <x v="0"/>
    <x v="2"/>
  </r>
  <r>
    <s v="Bella Foster"/>
    <n v="1179"/>
    <x v="85"/>
    <x v="1"/>
    <x v="0"/>
  </r>
  <r>
    <s v="Joshua Gonzales"/>
    <n v="1180"/>
    <x v="86"/>
    <x v="2"/>
    <x v="2"/>
  </r>
  <r>
    <s v="Claire Bryant"/>
    <n v="1181"/>
    <x v="87"/>
    <x v="0"/>
    <x v="1"/>
  </r>
  <r>
    <s v="Nathan Alexander"/>
    <n v="1182"/>
    <x v="88"/>
    <x v="1"/>
    <x v="2"/>
  </r>
  <r>
    <s v="Sadie Russell"/>
    <n v="1183"/>
    <x v="89"/>
    <x v="2"/>
    <x v="0"/>
  </r>
  <r>
    <s v="Aaron Griffin"/>
    <n v="1184"/>
    <x v="90"/>
    <x v="0"/>
    <x v="2"/>
  </r>
  <r>
    <s v="Caroline Diaz"/>
    <n v="1185"/>
    <x v="91"/>
    <x v="1"/>
    <x v="1"/>
  </r>
  <r>
    <s v="Eli Hayes"/>
    <n v="1186"/>
    <x v="92"/>
    <x v="2"/>
    <x v="2"/>
  </r>
  <r>
    <s v="Simon"/>
    <n v="1187"/>
    <x v="9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42D00-DC96-4510-A01E-7EBC551EE817}" name="PivotTable2" cacheId="24"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chartFormat="68">
  <location ref="A5:D10" firstHeaderRow="1" firstDataRow="2" firstDataCol="1"/>
  <pivotFields count="7">
    <pivotField dataField="1" compact="0" outline="0" showAll="0"/>
    <pivotField compact="0" outline="0" showAll="0"/>
    <pivotField compact="0" numFmtId="14" outline="0" showAll="0">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h="1" x="86"/>
        <item h="1" x="87"/>
        <item h="1" x="88"/>
        <item h="1" x="89"/>
        <item h="1" x="90"/>
        <item h="1" x="91"/>
        <item h="1" x="92"/>
        <item x="93"/>
        <item t="default"/>
      </items>
    </pivotField>
    <pivotField axis="axisRow" compact="0" outline="0" showAll="0">
      <items count="5">
        <item x="1"/>
        <item x="3"/>
        <item x="2"/>
        <item x="0"/>
        <item t="default"/>
      </items>
    </pivotField>
    <pivotField name="Appointments" axis="axisCol" compact="0" outline="0" showAll="0">
      <items count="4">
        <item x="1"/>
        <item x="2"/>
        <item x="0"/>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x v="3"/>
    </i>
  </rowItems>
  <colFields count="1">
    <field x="4"/>
  </colFields>
  <colItems count="3">
    <i>
      <x/>
    </i>
    <i>
      <x v="1"/>
    </i>
    <i>
      <x v="2"/>
    </i>
  </colItems>
  <dataFields count="1">
    <dataField name="Total Appointments" fld="0" subtotal="count" baseField="0" baseItem="0"/>
  </dataFields>
  <formats count="7">
    <format dxfId="59">
      <pivotArea field="3" type="button" dataOnly="0" labelOnly="1" outline="0" axis="axisRow" fieldPosition="0"/>
    </format>
    <format dxfId="60">
      <pivotArea dataOnly="0" labelOnly="1" outline="0" fieldPosition="0">
        <references count="1">
          <reference field="4" count="0"/>
        </references>
      </pivotArea>
    </format>
    <format dxfId="61">
      <pivotArea field="3" type="button" dataOnly="0" labelOnly="1" outline="0" axis="axisRow" fieldPosition="0"/>
    </format>
    <format dxfId="62">
      <pivotArea dataOnly="0" labelOnly="1" outline="0" fieldPosition="0">
        <references count="1">
          <reference field="4" count="0"/>
        </references>
      </pivotArea>
    </format>
    <format dxfId="63">
      <pivotArea field="3" type="button" dataOnly="0" labelOnly="1" outline="0" axis="axisRow" fieldPosition="0"/>
    </format>
    <format dxfId="64">
      <pivotArea dataOnly="0" labelOnly="1" outline="0" fieldPosition="0">
        <references count="1">
          <reference field="4" count="0"/>
        </references>
      </pivotArea>
    </format>
    <format dxfId="65">
      <pivotArea type="all" dataOnly="0" outline="0" fieldPosition="0"/>
    </format>
  </formats>
  <chartFormats count="2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pivotArea type="data" outline="0" fieldPosition="0">
        <references count="3">
          <reference field="4294967294" count="1" selected="0">
            <x v="0"/>
          </reference>
          <reference field="3" count="1" selected="0">
            <x v="0"/>
          </reference>
          <reference field="4" count="1" selected="0">
            <x v="0"/>
          </reference>
        </references>
      </pivotArea>
    </chartFormat>
    <chartFormat chart="4" format="4">
      <pivotArea type="data" outline="0" fieldPosition="0">
        <references count="3">
          <reference field="4294967294" count="1" selected="0">
            <x v="0"/>
          </reference>
          <reference field="3" count="1" selected="0">
            <x v="1"/>
          </reference>
          <reference field="4" count="1" selected="0">
            <x v="0"/>
          </reference>
        </references>
      </pivotArea>
    </chartFormat>
    <chartFormat chart="4" format="5">
      <pivotArea type="data" outline="0" fieldPosition="0">
        <references count="3">
          <reference field="4294967294" count="1" selected="0">
            <x v="0"/>
          </reference>
          <reference field="3" count="1" selected="0">
            <x v="2"/>
          </reference>
          <reference field="4" count="1" selected="0">
            <x v="0"/>
          </reference>
        </references>
      </pivotArea>
    </chartFormat>
    <chartFormat chart="4" format="6">
      <pivotArea type="data" outline="0" fieldPosition="0">
        <references count="3">
          <reference field="4294967294" count="1" selected="0">
            <x v="0"/>
          </reference>
          <reference field="3" count="1" selected="0">
            <x v="3"/>
          </reference>
          <reference field="4" count="1" selected="0">
            <x v="0"/>
          </reference>
        </references>
      </pivotArea>
    </chartFormat>
    <chartFormat chart="4" format="7">
      <pivotArea type="data" outline="0" fieldPosition="0">
        <references count="3">
          <reference field="4294967294" count="1" selected="0">
            <x v="0"/>
          </reference>
          <reference field="3" count="1" selected="0">
            <x v="0"/>
          </reference>
          <reference field="4" count="1" selected="0">
            <x v="1"/>
          </reference>
        </references>
      </pivotArea>
    </chartFormat>
    <chartFormat chart="4" format="8">
      <pivotArea type="data" outline="0" fieldPosition="0">
        <references count="3">
          <reference field="4294967294" count="1" selected="0">
            <x v="0"/>
          </reference>
          <reference field="3" count="1" selected="0">
            <x v="1"/>
          </reference>
          <reference field="4" count="1" selected="0">
            <x v="1"/>
          </reference>
        </references>
      </pivotArea>
    </chartFormat>
    <chartFormat chart="4" format="9">
      <pivotArea type="data" outline="0" fieldPosition="0">
        <references count="3">
          <reference field="4294967294" count="1" selected="0">
            <x v="0"/>
          </reference>
          <reference field="3" count="1" selected="0">
            <x v="2"/>
          </reference>
          <reference field="4" count="1" selected="0">
            <x v="1"/>
          </reference>
        </references>
      </pivotArea>
    </chartFormat>
    <chartFormat chart="4" format="10">
      <pivotArea type="data" outline="0" fieldPosition="0">
        <references count="3">
          <reference field="4294967294" count="1" selected="0">
            <x v="0"/>
          </reference>
          <reference field="3" count="1" selected="0">
            <x v="3"/>
          </reference>
          <reference field="4" count="1" selected="0">
            <x v="1"/>
          </reference>
        </references>
      </pivotArea>
    </chartFormat>
    <chartFormat chart="4" format="11">
      <pivotArea type="data" outline="0" fieldPosition="0">
        <references count="3">
          <reference field="4294967294" count="1" selected="0">
            <x v="0"/>
          </reference>
          <reference field="3" count="1" selected="0">
            <x v="0"/>
          </reference>
          <reference field="4" count="1" selected="0">
            <x v="2"/>
          </reference>
        </references>
      </pivotArea>
    </chartFormat>
    <chartFormat chart="4" format="12">
      <pivotArea type="data" outline="0" fieldPosition="0">
        <references count="3">
          <reference field="4294967294" count="1" selected="0">
            <x v="0"/>
          </reference>
          <reference field="3" count="1" selected="0">
            <x v="1"/>
          </reference>
          <reference field="4" count="1" selected="0">
            <x v="2"/>
          </reference>
        </references>
      </pivotArea>
    </chartFormat>
    <chartFormat chart="4" format="13">
      <pivotArea type="data" outline="0" fieldPosition="0">
        <references count="3">
          <reference field="4294967294" count="1" selected="0">
            <x v="0"/>
          </reference>
          <reference field="3" count="1" selected="0">
            <x v="2"/>
          </reference>
          <reference field="4" count="1" selected="0">
            <x v="2"/>
          </reference>
        </references>
      </pivotArea>
    </chartFormat>
    <chartFormat chart="4" format="14">
      <pivotArea type="data" outline="0" fieldPosition="0">
        <references count="3">
          <reference field="4294967294" count="1" selected="0">
            <x v="0"/>
          </reference>
          <reference field="3" count="1" selected="0">
            <x v="3"/>
          </reference>
          <reference field="4" count="1" selected="0">
            <x v="2"/>
          </reference>
        </references>
      </pivotArea>
    </chartFormat>
    <chartFormat chart="4" format="15" series="1">
      <pivotArea type="data" outline="0" fieldPosition="0">
        <references count="1">
          <reference field="4294967294" count="1" selected="0">
            <x v="0"/>
          </reference>
        </references>
      </pivotArea>
    </chartFormat>
    <chartFormat chart="67" format="0" series="1">
      <pivotArea type="data" outline="0" fieldPosition="0">
        <references count="2">
          <reference field="4294967294" count="1" selected="0">
            <x v="0"/>
          </reference>
          <reference field="4" count="1" selected="0">
            <x v="0"/>
          </reference>
        </references>
      </pivotArea>
    </chartFormat>
    <chartFormat chart="67" format="1" series="1">
      <pivotArea type="data" outline="0" fieldPosition="0">
        <references count="2">
          <reference field="4294967294" count="1" selected="0">
            <x v="0"/>
          </reference>
          <reference field="4" count="1" selected="0">
            <x v="1"/>
          </reference>
        </references>
      </pivotArea>
    </chartFormat>
    <chartFormat chart="67" format="2" series="1">
      <pivotArea type="data" outline="0" fieldPosition="0">
        <references count="2">
          <reference field="4294967294" count="1" selected="0">
            <x v="0"/>
          </reference>
          <reference field="4"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DC0C3BAC-A8E0-49C1-95F6-947A9965FFB6}" sourceName="Doctor">
  <pivotTables>
    <pivotTable tabId="3" name="PivotTable2"/>
  </pivotTables>
  <data>
    <tabular pivotCacheId="17951914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Date" xr10:uid="{4F3EE727-323D-4E65-92FA-8DEA2ACDB890}" sourceName="Appointment Date">
  <pivotTables>
    <pivotTable tabId="3" name="PivotTable2"/>
  </pivotTables>
  <data>
    <tabular pivotCacheId="179519142">
      <items count="9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i x="87"/>
        <i x="88"/>
        <i x="89"/>
        <i x="90"/>
        <i x="91"/>
        <i x="92"/>
        <i x="9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F7078BBC-F582-4EEF-A2E5-F1B1E96DE234}" cache="Slicer_Doctor" caption="Doctor" rowHeight="257175"/>
  <slicer name="Appointment Date" xr10:uid="{95C252D2-A3B9-4429-AF55-7B65EFF7EB25}" cache="Slicer_Appointment_Date" caption="Appointment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DB118B-18CB-4AAB-9C67-F512771F3A62}" name="Table1" displayName="Table1" ref="A1:E101" totalsRowShown="0" headerRowDxfId="40" dataDxfId="41">
  <autoFilter ref="A1:E101" xr:uid="{74DB118B-18CB-4AAB-9C67-F512771F3A62}"/>
  <tableColumns count="5">
    <tableColumn id="1" xr3:uid="{18C06217-00BA-425A-B37E-E9609F82129B}" name="Patient Name" dataDxfId="44"/>
    <tableColumn id="2" xr3:uid="{688BF809-2611-4CA9-A682-AB9FB778C34F}" name="Patient ID" dataDxfId="43"/>
    <tableColumn id="3" xr3:uid="{DC5AF7DA-06B2-42D7-9564-7BB28699E541}" name="Appointment Date" dataDxfId="42"/>
    <tableColumn id="4" xr3:uid="{7ED423E8-863E-49E7-9D07-5F837CB1997B}" name="Doctor" dataDxfId="39"/>
    <tableColumn id="5" xr3:uid="{52B8E717-12E3-49DC-A44C-18CCD66D3490}" name="Status" dataDxfId="38"/>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DA3C-CEBE-47AA-A1D2-0D902C873BC7}">
  <dimension ref="A1:E101"/>
  <sheetViews>
    <sheetView tabSelected="1" topLeftCell="B66" workbookViewId="0">
      <selection activeCell="G73" sqref="G73"/>
    </sheetView>
  </sheetViews>
  <sheetFormatPr defaultRowHeight="15" x14ac:dyDescent="0.25"/>
  <cols>
    <col min="1" max="1" width="28.140625" style="3" customWidth="1"/>
    <col min="2" max="2" width="15.42578125" style="3" customWidth="1"/>
    <col min="3" max="3" width="19.140625" style="3" customWidth="1"/>
    <col min="4" max="4" width="20.7109375" style="3" customWidth="1"/>
    <col min="5" max="5" width="26.42578125" style="1" customWidth="1"/>
    <col min="6" max="6" width="27" customWidth="1"/>
    <col min="7" max="7" width="13.140625" customWidth="1"/>
  </cols>
  <sheetData>
    <row r="1" spans="1:5" s="1" customFormat="1" x14ac:dyDescent="0.25">
      <c r="A1" s="14" t="s">
        <v>0</v>
      </c>
      <c r="B1" s="14" t="s">
        <v>1</v>
      </c>
      <c r="C1" s="14" t="s">
        <v>2</v>
      </c>
      <c r="D1" s="14" t="s">
        <v>3</v>
      </c>
      <c r="E1" s="14" t="s">
        <v>4</v>
      </c>
    </row>
    <row r="2" spans="1:5" x14ac:dyDescent="0.25">
      <c r="A2" s="2" t="s">
        <v>5</v>
      </c>
      <c r="B2" s="2">
        <v>1001</v>
      </c>
      <c r="C2" s="4">
        <v>46113</v>
      </c>
      <c r="D2" s="2" t="s">
        <v>6</v>
      </c>
      <c r="E2" s="15" t="s">
        <v>10</v>
      </c>
    </row>
    <row r="3" spans="1:5" x14ac:dyDescent="0.25">
      <c r="A3" s="2" t="s">
        <v>8</v>
      </c>
      <c r="B3" s="2">
        <v>1002</v>
      </c>
      <c r="C3" s="4">
        <v>46114</v>
      </c>
      <c r="D3" s="2" t="s">
        <v>9</v>
      </c>
      <c r="E3" s="16" t="s">
        <v>13</v>
      </c>
    </row>
    <row r="4" spans="1:5" x14ac:dyDescent="0.25">
      <c r="A4" s="2" t="s">
        <v>11</v>
      </c>
      <c r="B4" s="2">
        <v>1003</v>
      </c>
      <c r="C4" s="4">
        <v>46115</v>
      </c>
      <c r="D4" s="2" t="s">
        <v>6</v>
      </c>
      <c r="E4" s="17" t="s">
        <v>7</v>
      </c>
    </row>
    <row r="5" spans="1:5" x14ac:dyDescent="0.25">
      <c r="A5" s="2" t="s">
        <v>12</v>
      </c>
      <c r="B5" s="2">
        <v>1004</v>
      </c>
      <c r="C5" s="4">
        <v>46116</v>
      </c>
      <c r="D5" s="2" t="s">
        <v>9</v>
      </c>
      <c r="E5" s="17" t="s">
        <v>13</v>
      </c>
    </row>
    <row r="6" spans="1:5" x14ac:dyDescent="0.25">
      <c r="A6" s="2" t="s">
        <v>14</v>
      </c>
      <c r="B6" s="2">
        <v>1005</v>
      </c>
      <c r="C6" s="4">
        <v>46117</v>
      </c>
      <c r="D6" s="2" t="s">
        <v>6</v>
      </c>
      <c r="E6" s="15" t="s">
        <v>10</v>
      </c>
    </row>
    <row r="7" spans="1:5" x14ac:dyDescent="0.25">
      <c r="A7" s="2" t="s">
        <v>15</v>
      </c>
      <c r="B7" s="2">
        <v>1006</v>
      </c>
      <c r="C7" s="4">
        <v>46118</v>
      </c>
      <c r="D7" s="2" t="s">
        <v>16</v>
      </c>
      <c r="E7" s="17" t="s">
        <v>7</v>
      </c>
    </row>
    <row r="8" spans="1:5" x14ac:dyDescent="0.25">
      <c r="A8" s="3" t="s">
        <v>5</v>
      </c>
      <c r="B8" s="3">
        <v>1001</v>
      </c>
      <c r="C8" s="5">
        <v>46113</v>
      </c>
      <c r="D8" s="3" t="s">
        <v>6</v>
      </c>
      <c r="E8" s="18" t="s">
        <v>7</v>
      </c>
    </row>
    <row r="9" spans="1:5" x14ac:dyDescent="0.25">
      <c r="A9" s="3" t="s">
        <v>8</v>
      </c>
      <c r="B9" s="3">
        <v>1002</v>
      </c>
      <c r="C9" s="5">
        <v>46114</v>
      </c>
      <c r="D9" s="3" t="s">
        <v>9</v>
      </c>
      <c r="E9" s="19" t="s">
        <v>10</v>
      </c>
    </row>
    <row r="10" spans="1:5" x14ac:dyDescent="0.25">
      <c r="A10" s="3" t="s">
        <v>11</v>
      </c>
      <c r="B10" s="3">
        <v>1003</v>
      </c>
      <c r="C10" s="5">
        <v>46115</v>
      </c>
      <c r="D10" s="3" t="s">
        <v>16</v>
      </c>
      <c r="E10" s="18" t="s">
        <v>7</v>
      </c>
    </row>
    <row r="11" spans="1:5" x14ac:dyDescent="0.25">
      <c r="A11" s="3" t="s">
        <v>12</v>
      </c>
      <c r="B11" s="3">
        <v>1004</v>
      </c>
      <c r="C11" s="5">
        <v>46116</v>
      </c>
      <c r="D11" s="3" t="s">
        <v>6</v>
      </c>
      <c r="E11" s="18" t="s">
        <v>13</v>
      </c>
    </row>
    <row r="12" spans="1:5" x14ac:dyDescent="0.25">
      <c r="A12" s="3" t="s">
        <v>14</v>
      </c>
      <c r="B12" s="3">
        <v>1005</v>
      </c>
      <c r="C12" s="5">
        <v>46117</v>
      </c>
      <c r="D12" s="3" t="s">
        <v>9</v>
      </c>
      <c r="E12" s="19" t="s">
        <v>10</v>
      </c>
    </row>
    <row r="13" spans="1:5" x14ac:dyDescent="0.25">
      <c r="A13" s="3" t="s">
        <v>15</v>
      </c>
      <c r="B13" s="3">
        <v>1006</v>
      </c>
      <c r="C13" s="5">
        <v>46118</v>
      </c>
      <c r="D13" s="3" t="s">
        <v>16</v>
      </c>
      <c r="E13" s="18" t="s">
        <v>7</v>
      </c>
    </row>
    <row r="14" spans="1:5" x14ac:dyDescent="0.25">
      <c r="A14" s="3" t="s">
        <v>17</v>
      </c>
      <c r="B14" s="3">
        <v>1007</v>
      </c>
      <c r="C14" s="5">
        <v>46119</v>
      </c>
      <c r="D14" s="3" t="s">
        <v>6</v>
      </c>
      <c r="E14" s="18" t="s">
        <v>7</v>
      </c>
    </row>
    <row r="15" spans="1:5" x14ac:dyDescent="0.25">
      <c r="A15" s="3" t="s">
        <v>18</v>
      </c>
      <c r="B15" s="3">
        <v>1008</v>
      </c>
      <c r="C15" s="5">
        <v>46120</v>
      </c>
      <c r="D15" s="3" t="s">
        <v>9</v>
      </c>
      <c r="E15" s="18" t="s">
        <v>13</v>
      </c>
    </row>
    <row r="16" spans="1:5" x14ac:dyDescent="0.25">
      <c r="A16" s="3" t="s">
        <v>19</v>
      </c>
      <c r="B16" s="3">
        <v>1009</v>
      </c>
      <c r="C16" s="5">
        <v>46121</v>
      </c>
      <c r="D16" s="3" t="s">
        <v>16</v>
      </c>
      <c r="E16" s="18" t="s">
        <v>7</v>
      </c>
    </row>
    <row r="17" spans="1:5" x14ac:dyDescent="0.25">
      <c r="A17" s="3" t="s">
        <v>20</v>
      </c>
      <c r="B17" s="3">
        <v>1010</v>
      </c>
      <c r="C17" s="5">
        <v>46122</v>
      </c>
      <c r="D17" s="3" t="s">
        <v>6</v>
      </c>
      <c r="E17" s="19" t="s">
        <v>10</v>
      </c>
    </row>
    <row r="18" spans="1:5" x14ac:dyDescent="0.25">
      <c r="A18" s="3" t="s">
        <v>21</v>
      </c>
      <c r="B18" s="3">
        <v>1011</v>
      </c>
      <c r="C18" s="5">
        <v>46123</v>
      </c>
      <c r="D18" s="3" t="s">
        <v>9</v>
      </c>
      <c r="E18" s="18" t="s">
        <v>7</v>
      </c>
    </row>
    <row r="19" spans="1:5" x14ac:dyDescent="0.25">
      <c r="A19" s="3" t="s">
        <v>22</v>
      </c>
      <c r="B19" s="3">
        <v>1012</v>
      </c>
      <c r="C19" s="5">
        <v>46124</v>
      </c>
      <c r="D19" s="3" t="s">
        <v>16</v>
      </c>
      <c r="E19" s="18" t="s">
        <v>13</v>
      </c>
    </row>
    <row r="20" spans="1:5" x14ac:dyDescent="0.25">
      <c r="A20" s="3" t="s">
        <v>23</v>
      </c>
      <c r="B20" s="3">
        <v>1013</v>
      </c>
      <c r="C20" s="5">
        <v>46125</v>
      </c>
      <c r="D20" s="3" t="s">
        <v>6</v>
      </c>
      <c r="E20" s="18" t="s">
        <v>10</v>
      </c>
    </row>
    <row r="21" spans="1:5" x14ac:dyDescent="0.25">
      <c r="A21" s="3" t="s">
        <v>24</v>
      </c>
      <c r="B21" s="3">
        <v>1014</v>
      </c>
      <c r="C21" s="5">
        <v>46126</v>
      </c>
      <c r="D21" s="3" t="s">
        <v>9</v>
      </c>
      <c r="E21" s="19" t="s">
        <v>10</v>
      </c>
    </row>
    <row r="22" spans="1:5" x14ac:dyDescent="0.25">
      <c r="A22" s="3" t="s">
        <v>25</v>
      </c>
      <c r="B22" s="3">
        <v>1015</v>
      </c>
      <c r="C22" s="5">
        <v>46127</v>
      </c>
      <c r="D22" s="3" t="s">
        <v>16</v>
      </c>
      <c r="E22" s="18" t="s">
        <v>7</v>
      </c>
    </row>
    <row r="23" spans="1:5" x14ac:dyDescent="0.25">
      <c r="A23" s="3" t="s">
        <v>26</v>
      </c>
      <c r="B23" s="3">
        <v>1016</v>
      </c>
      <c r="C23" s="5">
        <v>46128</v>
      </c>
      <c r="D23" s="3" t="s">
        <v>6</v>
      </c>
      <c r="E23" s="18" t="s">
        <v>13</v>
      </c>
    </row>
    <row r="24" spans="1:5" x14ac:dyDescent="0.25">
      <c r="A24" s="3" t="s">
        <v>27</v>
      </c>
      <c r="B24" s="3">
        <v>1017</v>
      </c>
      <c r="C24" s="5">
        <v>46129</v>
      </c>
      <c r="D24" s="3" t="s">
        <v>9</v>
      </c>
      <c r="E24" s="18" t="s">
        <v>7</v>
      </c>
    </row>
    <row r="25" spans="1:5" x14ac:dyDescent="0.25">
      <c r="A25" s="3" t="s">
        <v>28</v>
      </c>
      <c r="B25" s="3">
        <v>1018</v>
      </c>
      <c r="C25" s="5">
        <v>46130</v>
      </c>
      <c r="D25" s="3" t="s">
        <v>16</v>
      </c>
      <c r="E25" s="19" t="s">
        <v>10</v>
      </c>
    </row>
    <row r="26" spans="1:5" x14ac:dyDescent="0.25">
      <c r="A26" s="3" t="s">
        <v>29</v>
      </c>
      <c r="B26" s="3">
        <v>1019</v>
      </c>
      <c r="C26" s="5">
        <v>46131</v>
      </c>
      <c r="D26" s="3" t="s">
        <v>6</v>
      </c>
      <c r="E26" s="18" t="s">
        <v>7</v>
      </c>
    </row>
    <row r="27" spans="1:5" x14ac:dyDescent="0.25">
      <c r="A27" s="3" t="s">
        <v>30</v>
      </c>
      <c r="B27" s="3">
        <v>1020</v>
      </c>
      <c r="C27" s="5">
        <v>46132</v>
      </c>
      <c r="D27" s="3" t="s">
        <v>9</v>
      </c>
      <c r="E27" s="18" t="s">
        <v>13</v>
      </c>
    </row>
    <row r="28" spans="1:5" x14ac:dyDescent="0.25">
      <c r="A28" s="3" t="s">
        <v>31</v>
      </c>
      <c r="B28" s="3">
        <v>1021</v>
      </c>
      <c r="C28" s="5">
        <v>46133</v>
      </c>
      <c r="D28" s="3" t="s">
        <v>16</v>
      </c>
      <c r="E28" s="18" t="s">
        <v>7</v>
      </c>
    </row>
    <row r="29" spans="1:5" x14ac:dyDescent="0.25">
      <c r="A29" s="3" t="s">
        <v>32</v>
      </c>
      <c r="B29" s="3">
        <v>1022</v>
      </c>
      <c r="C29" s="5">
        <v>46134</v>
      </c>
      <c r="D29" s="3" t="s">
        <v>6</v>
      </c>
      <c r="E29" s="19" t="s">
        <v>10</v>
      </c>
    </row>
    <row r="30" spans="1:5" x14ac:dyDescent="0.25">
      <c r="A30" s="3" t="s">
        <v>33</v>
      </c>
      <c r="B30" s="3">
        <v>1023</v>
      </c>
      <c r="C30" s="5">
        <v>46135</v>
      </c>
      <c r="D30" s="3" t="s">
        <v>9</v>
      </c>
      <c r="E30" s="18" t="s">
        <v>7</v>
      </c>
    </row>
    <row r="31" spans="1:5" x14ac:dyDescent="0.25">
      <c r="A31" s="3" t="s">
        <v>34</v>
      </c>
      <c r="B31" s="3">
        <v>1024</v>
      </c>
      <c r="C31" s="5">
        <v>46136</v>
      </c>
      <c r="D31" s="3" t="s">
        <v>16</v>
      </c>
      <c r="E31" s="18" t="s">
        <v>13</v>
      </c>
    </row>
    <row r="32" spans="1:5" x14ac:dyDescent="0.25">
      <c r="A32" s="3" t="s">
        <v>35</v>
      </c>
      <c r="B32" s="3">
        <v>1025</v>
      </c>
      <c r="C32" s="5">
        <v>46137</v>
      </c>
      <c r="D32" s="3" t="s">
        <v>6</v>
      </c>
      <c r="E32" s="18" t="s">
        <v>7</v>
      </c>
    </row>
    <row r="33" spans="1:5" x14ac:dyDescent="0.25">
      <c r="A33" s="3" t="s">
        <v>36</v>
      </c>
      <c r="B33" s="3">
        <v>1026</v>
      </c>
      <c r="C33" s="5">
        <v>46138</v>
      </c>
      <c r="D33" s="3" t="s">
        <v>9</v>
      </c>
      <c r="E33" s="19" t="s">
        <v>10</v>
      </c>
    </row>
    <row r="34" spans="1:5" x14ac:dyDescent="0.25">
      <c r="A34" s="3" t="s">
        <v>37</v>
      </c>
      <c r="B34" s="3">
        <v>1027</v>
      </c>
      <c r="C34" s="5">
        <v>46139</v>
      </c>
      <c r="D34" s="3" t="s">
        <v>16</v>
      </c>
      <c r="E34" s="18" t="s">
        <v>7</v>
      </c>
    </row>
    <row r="35" spans="1:5" x14ac:dyDescent="0.25">
      <c r="A35" s="3" t="s">
        <v>38</v>
      </c>
      <c r="B35" s="3">
        <v>1028</v>
      </c>
      <c r="C35" s="5">
        <v>46140</v>
      </c>
      <c r="D35" s="3" t="s">
        <v>6</v>
      </c>
      <c r="E35" s="18" t="s">
        <v>13</v>
      </c>
    </row>
    <row r="36" spans="1:5" x14ac:dyDescent="0.25">
      <c r="A36" s="3" t="s">
        <v>39</v>
      </c>
      <c r="B36" s="3">
        <v>1029</v>
      </c>
      <c r="C36" s="5">
        <v>46141</v>
      </c>
      <c r="D36" s="3" t="s">
        <v>9</v>
      </c>
      <c r="E36" s="18" t="s">
        <v>7</v>
      </c>
    </row>
    <row r="37" spans="1:5" x14ac:dyDescent="0.25">
      <c r="A37" s="3" t="s">
        <v>40</v>
      </c>
      <c r="B37" s="3">
        <v>1030</v>
      </c>
      <c r="C37" s="5">
        <v>46142</v>
      </c>
      <c r="D37" s="3" t="s">
        <v>16</v>
      </c>
      <c r="E37" s="19" t="s">
        <v>10</v>
      </c>
    </row>
    <row r="38" spans="1:5" x14ac:dyDescent="0.25">
      <c r="A38" s="3" t="s">
        <v>41</v>
      </c>
      <c r="B38" s="3">
        <v>1031</v>
      </c>
      <c r="C38" s="5">
        <v>46143</v>
      </c>
      <c r="D38" s="3" t="s">
        <v>6</v>
      </c>
      <c r="E38" s="18" t="s">
        <v>7</v>
      </c>
    </row>
    <row r="39" spans="1:5" x14ac:dyDescent="0.25">
      <c r="A39" s="3" t="s">
        <v>42</v>
      </c>
      <c r="B39" s="3">
        <v>1032</v>
      </c>
      <c r="C39" s="5">
        <v>46144</v>
      </c>
      <c r="D39" s="3" t="s">
        <v>9</v>
      </c>
      <c r="E39" s="18" t="s">
        <v>13</v>
      </c>
    </row>
    <row r="40" spans="1:5" x14ac:dyDescent="0.25">
      <c r="A40" s="3" t="s">
        <v>43</v>
      </c>
      <c r="B40" s="3">
        <v>1033</v>
      </c>
      <c r="C40" s="5">
        <v>46145</v>
      </c>
      <c r="D40" s="3" t="s">
        <v>16</v>
      </c>
      <c r="E40" s="18" t="s">
        <v>7</v>
      </c>
    </row>
    <row r="41" spans="1:5" x14ac:dyDescent="0.25">
      <c r="A41" s="3" t="s">
        <v>44</v>
      </c>
      <c r="B41" s="3">
        <v>1034</v>
      </c>
      <c r="C41" s="5">
        <v>46146</v>
      </c>
      <c r="D41" s="3" t="s">
        <v>6</v>
      </c>
      <c r="E41" s="19" t="s">
        <v>10</v>
      </c>
    </row>
    <row r="42" spans="1:5" x14ac:dyDescent="0.25">
      <c r="A42" s="3" t="s">
        <v>45</v>
      </c>
      <c r="B42" s="3">
        <v>1035</v>
      </c>
      <c r="C42" s="5">
        <v>46147</v>
      </c>
      <c r="D42" s="3" t="s">
        <v>9</v>
      </c>
      <c r="E42" s="18" t="s">
        <v>7</v>
      </c>
    </row>
    <row r="43" spans="1:5" x14ac:dyDescent="0.25">
      <c r="A43" s="3" t="s">
        <v>46</v>
      </c>
      <c r="B43" s="3">
        <v>1036</v>
      </c>
      <c r="C43" s="5">
        <v>46148</v>
      </c>
      <c r="D43" s="3" t="s">
        <v>16</v>
      </c>
      <c r="E43" s="18" t="s">
        <v>13</v>
      </c>
    </row>
    <row r="44" spans="1:5" x14ac:dyDescent="0.25">
      <c r="A44" s="3" t="s">
        <v>47</v>
      </c>
      <c r="B44" s="3">
        <v>1037</v>
      </c>
      <c r="C44" s="5">
        <v>46149</v>
      </c>
      <c r="D44" s="3" t="s">
        <v>6</v>
      </c>
      <c r="E44" s="18" t="s">
        <v>7</v>
      </c>
    </row>
    <row r="45" spans="1:5" x14ac:dyDescent="0.25">
      <c r="A45" s="3" t="s">
        <v>48</v>
      </c>
      <c r="B45" s="3">
        <v>1038</v>
      </c>
      <c r="C45" s="5">
        <v>46150</v>
      </c>
      <c r="D45" s="3" t="s">
        <v>9</v>
      </c>
      <c r="E45" s="19" t="s">
        <v>10</v>
      </c>
    </row>
    <row r="46" spans="1:5" x14ac:dyDescent="0.25">
      <c r="A46" s="3" t="s">
        <v>49</v>
      </c>
      <c r="B46" s="3">
        <v>1039</v>
      </c>
      <c r="C46" s="5">
        <v>46151</v>
      </c>
      <c r="D46" s="3" t="s">
        <v>16</v>
      </c>
      <c r="E46" s="18" t="s">
        <v>7</v>
      </c>
    </row>
    <row r="47" spans="1:5" x14ac:dyDescent="0.25">
      <c r="A47" s="3" t="s">
        <v>50</v>
      </c>
      <c r="B47" s="3">
        <v>1040</v>
      </c>
      <c r="C47" s="5">
        <v>46152</v>
      </c>
      <c r="D47" s="3" t="s">
        <v>6</v>
      </c>
      <c r="E47" s="18" t="s">
        <v>13</v>
      </c>
    </row>
    <row r="48" spans="1:5" x14ac:dyDescent="0.25">
      <c r="A48" s="3" t="s">
        <v>51</v>
      </c>
      <c r="B48" s="3">
        <v>1041</v>
      </c>
      <c r="C48" s="5">
        <v>46153</v>
      </c>
      <c r="D48" s="3" t="s">
        <v>9</v>
      </c>
      <c r="E48" s="18" t="s">
        <v>7</v>
      </c>
    </row>
    <row r="49" spans="1:5" x14ac:dyDescent="0.25">
      <c r="A49" s="3" t="s">
        <v>52</v>
      </c>
      <c r="B49" s="3">
        <v>1042</v>
      </c>
      <c r="C49" s="5">
        <v>46154</v>
      </c>
      <c r="D49" s="3" t="s">
        <v>16</v>
      </c>
      <c r="E49" s="19" t="s">
        <v>10</v>
      </c>
    </row>
    <row r="50" spans="1:5" x14ac:dyDescent="0.25">
      <c r="A50" s="3" t="s">
        <v>53</v>
      </c>
      <c r="B50" s="3">
        <v>1043</v>
      </c>
      <c r="C50" s="5">
        <v>46155</v>
      </c>
      <c r="D50" s="3" t="s">
        <v>6</v>
      </c>
      <c r="E50" s="18" t="s">
        <v>7</v>
      </c>
    </row>
    <row r="51" spans="1:5" x14ac:dyDescent="0.25">
      <c r="A51" s="3" t="s">
        <v>54</v>
      </c>
      <c r="B51" s="3">
        <v>1044</v>
      </c>
      <c r="C51" s="5">
        <v>46156</v>
      </c>
      <c r="D51" s="3" t="s">
        <v>9</v>
      </c>
      <c r="E51" s="18" t="s">
        <v>13</v>
      </c>
    </row>
    <row r="52" spans="1:5" x14ac:dyDescent="0.25">
      <c r="A52" s="3" t="s">
        <v>55</v>
      </c>
      <c r="B52" s="3">
        <v>1045</v>
      </c>
      <c r="C52" s="5">
        <v>46157</v>
      </c>
      <c r="D52" s="3" t="s">
        <v>16</v>
      </c>
      <c r="E52" s="18" t="s">
        <v>7</v>
      </c>
    </row>
    <row r="53" spans="1:5" x14ac:dyDescent="0.25">
      <c r="A53" s="3" t="s">
        <v>56</v>
      </c>
      <c r="B53" s="3">
        <v>1046</v>
      </c>
      <c r="C53" s="5">
        <v>46158</v>
      </c>
      <c r="D53" s="3" t="s">
        <v>6</v>
      </c>
      <c r="E53" s="19" t="s">
        <v>10</v>
      </c>
    </row>
    <row r="54" spans="1:5" x14ac:dyDescent="0.25">
      <c r="A54" s="3" t="s">
        <v>57</v>
      </c>
      <c r="B54" s="3">
        <v>1047</v>
      </c>
      <c r="C54" s="5">
        <v>46159</v>
      </c>
      <c r="D54" s="3" t="s">
        <v>9</v>
      </c>
      <c r="E54" s="18" t="s">
        <v>7</v>
      </c>
    </row>
    <row r="55" spans="1:5" x14ac:dyDescent="0.25">
      <c r="A55" s="3" t="s">
        <v>58</v>
      </c>
      <c r="B55" s="3">
        <v>1048</v>
      </c>
      <c r="C55" s="5">
        <v>46160</v>
      </c>
      <c r="D55" s="3" t="s">
        <v>16</v>
      </c>
      <c r="E55" s="18" t="s">
        <v>13</v>
      </c>
    </row>
    <row r="56" spans="1:5" x14ac:dyDescent="0.25">
      <c r="A56" s="3" t="s">
        <v>59</v>
      </c>
      <c r="B56" s="3">
        <v>1049</v>
      </c>
      <c r="C56" s="5">
        <v>46161</v>
      </c>
      <c r="D56" s="3" t="s">
        <v>6</v>
      </c>
      <c r="E56" s="18" t="s">
        <v>7</v>
      </c>
    </row>
    <row r="57" spans="1:5" x14ac:dyDescent="0.25">
      <c r="A57" s="3" t="s">
        <v>60</v>
      </c>
      <c r="B57" s="3">
        <v>1050</v>
      </c>
      <c r="C57" s="5">
        <v>46162</v>
      </c>
      <c r="D57" s="3" t="s">
        <v>9</v>
      </c>
      <c r="E57" s="19" t="s">
        <v>10</v>
      </c>
    </row>
    <row r="58" spans="1:5" x14ac:dyDescent="0.25">
      <c r="A58" s="3" t="s">
        <v>61</v>
      </c>
      <c r="B58" s="3">
        <v>1051</v>
      </c>
      <c r="C58" s="5">
        <v>46163</v>
      </c>
      <c r="D58" s="3" t="s">
        <v>16</v>
      </c>
      <c r="E58" s="18" t="s">
        <v>7</v>
      </c>
    </row>
    <row r="59" spans="1:5" x14ac:dyDescent="0.25">
      <c r="A59" s="3" t="s">
        <v>62</v>
      </c>
      <c r="B59" s="3">
        <v>1052</v>
      </c>
      <c r="C59" s="5">
        <v>46164</v>
      </c>
      <c r="D59" s="3" t="s">
        <v>6</v>
      </c>
      <c r="E59" s="18" t="s">
        <v>13</v>
      </c>
    </row>
    <row r="60" spans="1:5" x14ac:dyDescent="0.25">
      <c r="A60" s="3" t="s">
        <v>63</v>
      </c>
      <c r="B60" s="3">
        <v>1053</v>
      </c>
      <c r="C60" s="5">
        <v>46165</v>
      </c>
      <c r="D60" s="3" t="s">
        <v>9</v>
      </c>
      <c r="E60" s="18" t="s">
        <v>7</v>
      </c>
    </row>
    <row r="61" spans="1:5" x14ac:dyDescent="0.25">
      <c r="A61" s="3" t="s">
        <v>64</v>
      </c>
      <c r="B61" s="3">
        <v>1054</v>
      </c>
      <c r="C61" s="5">
        <v>46166</v>
      </c>
      <c r="D61" s="3" t="s">
        <v>16</v>
      </c>
      <c r="E61" s="19" t="s">
        <v>10</v>
      </c>
    </row>
    <row r="62" spans="1:5" x14ac:dyDescent="0.25">
      <c r="A62" s="3" t="s">
        <v>65</v>
      </c>
      <c r="B62" s="3">
        <v>1055</v>
      </c>
      <c r="C62" s="5">
        <v>46167</v>
      </c>
      <c r="D62" s="3" t="s">
        <v>6</v>
      </c>
      <c r="E62" s="18" t="s">
        <v>7</v>
      </c>
    </row>
    <row r="63" spans="1:5" x14ac:dyDescent="0.25">
      <c r="A63" s="3" t="s">
        <v>66</v>
      </c>
      <c r="B63" s="3">
        <v>1056</v>
      </c>
      <c r="C63" s="5">
        <v>46168</v>
      </c>
      <c r="D63" s="3" t="s">
        <v>9</v>
      </c>
      <c r="E63" s="18" t="s">
        <v>13</v>
      </c>
    </row>
    <row r="64" spans="1:5" x14ac:dyDescent="0.25">
      <c r="A64" s="3" t="s">
        <v>67</v>
      </c>
      <c r="B64" s="3">
        <v>1057</v>
      </c>
      <c r="C64" s="5">
        <v>46169</v>
      </c>
      <c r="D64" s="3" t="s">
        <v>16</v>
      </c>
      <c r="E64" s="18" t="s">
        <v>7</v>
      </c>
    </row>
    <row r="65" spans="1:5" x14ac:dyDescent="0.25">
      <c r="A65" s="3" t="s">
        <v>68</v>
      </c>
      <c r="B65" s="3">
        <v>1058</v>
      </c>
      <c r="C65" s="5">
        <v>46170</v>
      </c>
      <c r="D65" s="3" t="s">
        <v>6</v>
      </c>
      <c r="E65" s="19" t="s">
        <v>10</v>
      </c>
    </row>
    <row r="66" spans="1:5" x14ac:dyDescent="0.25">
      <c r="A66" s="3" t="s">
        <v>69</v>
      </c>
      <c r="B66" s="3">
        <v>1059</v>
      </c>
      <c r="C66" s="5">
        <v>46171</v>
      </c>
      <c r="D66" s="3" t="s">
        <v>9</v>
      </c>
      <c r="E66" s="18" t="s">
        <v>7</v>
      </c>
    </row>
    <row r="67" spans="1:5" x14ac:dyDescent="0.25">
      <c r="A67" s="3" t="s">
        <v>70</v>
      </c>
      <c r="B67" s="3">
        <v>1060</v>
      </c>
      <c r="C67" s="5">
        <v>46172</v>
      </c>
      <c r="D67" s="3" t="s">
        <v>16</v>
      </c>
      <c r="E67" s="18" t="s">
        <v>13</v>
      </c>
    </row>
    <row r="68" spans="1:5" x14ac:dyDescent="0.25">
      <c r="A68" s="3" t="s">
        <v>73</v>
      </c>
      <c r="B68" s="3">
        <v>1154</v>
      </c>
      <c r="C68" s="5">
        <v>46174</v>
      </c>
      <c r="D68" s="3" t="s">
        <v>6</v>
      </c>
      <c r="E68" s="18" t="s">
        <v>7</v>
      </c>
    </row>
    <row r="69" spans="1:5" x14ac:dyDescent="0.25">
      <c r="A69" s="3" t="s">
        <v>74</v>
      </c>
      <c r="B69" s="3">
        <v>1155</v>
      </c>
      <c r="C69" s="5">
        <v>46175</v>
      </c>
      <c r="D69" s="3" t="s">
        <v>9</v>
      </c>
      <c r="E69" s="19" t="s">
        <v>10</v>
      </c>
    </row>
    <row r="70" spans="1:5" x14ac:dyDescent="0.25">
      <c r="A70" s="3" t="s">
        <v>75</v>
      </c>
      <c r="B70" s="3">
        <v>1156</v>
      </c>
      <c r="C70" s="5">
        <v>46176</v>
      </c>
      <c r="D70" s="3" t="s">
        <v>16</v>
      </c>
      <c r="E70" s="18" t="s">
        <v>7</v>
      </c>
    </row>
    <row r="71" spans="1:5" x14ac:dyDescent="0.25">
      <c r="A71" s="3" t="s">
        <v>76</v>
      </c>
      <c r="B71" s="3">
        <v>1157</v>
      </c>
      <c r="C71" s="5">
        <v>46177</v>
      </c>
      <c r="D71" s="3" t="s">
        <v>6</v>
      </c>
      <c r="E71" s="18" t="s">
        <v>13</v>
      </c>
    </row>
    <row r="72" spans="1:5" x14ac:dyDescent="0.25">
      <c r="A72" s="3" t="s">
        <v>77</v>
      </c>
      <c r="B72" s="3">
        <v>1158</v>
      </c>
      <c r="C72" s="5">
        <v>46178</v>
      </c>
      <c r="D72" s="3" t="s">
        <v>9</v>
      </c>
      <c r="E72" s="18" t="s">
        <v>7</v>
      </c>
    </row>
    <row r="73" spans="1:5" x14ac:dyDescent="0.25">
      <c r="A73" s="3" t="s">
        <v>78</v>
      </c>
      <c r="B73" s="3">
        <v>1159</v>
      </c>
      <c r="C73" s="5">
        <v>46179</v>
      </c>
      <c r="D73" s="3" t="s">
        <v>16</v>
      </c>
      <c r="E73" s="19" t="s">
        <v>10</v>
      </c>
    </row>
    <row r="74" spans="1:5" x14ac:dyDescent="0.25">
      <c r="A74" s="3" t="s">
        <v>79</v>
      </c>
      <c r="B74" s="3">
        <v>1160</v>
      </c>
      <c r="C74" s="5">
        <v>46180</v>
      </c>
      <c r="D74" s="3" t="s">
        <v>6</v>
      </c>
      <c r="E74" s="18" t="s">
        <v>7</v>
      </c>
    </row>
    <row r="75" spans="1:5" x14ac:dyDescent="0.25">
      <c r="A75" s="3" t="s">
        <v>80</v>
      </c>
      <c r="B75" s="3">
        <v>1161</v>
      </c>
      <c r="C75" s="5">
        <v>46181</v>
      </c>
      <c r="D75" s="3" t="s">
        <v>9</v>
      </c>
      <c r="E75" s="18" t="s">
        <v>13</v>
      </c>
    </row>
    <row r="76" spans="1:5" x14ac:dyDescent="0.25">
      <c r="A76" s="3" t="s">
        <v>81</v>
      </c>
      <c r="B76" s="3">
        <v>1162</v>
      </c>
      <c r="C76" s="5">
        <v>46182</v>
      </c>
      <c r="D76" s="3" t="s">
        <v>16</v>
      </c>
      <c r="E76" s="18" t="s">
        <v>7</v>
      </c>
    </row>
    <row r="77" spans="1:5" x14ac:dyDescent="0.25">
      <c r="A77" s="3" t="s">
        <v>82</v>
      </c>
      <c r="B77" s="3">
        <v>1163</v>
      </c>
      <c r="C77" s="5">
        <v>46183</v>
      </c>
      <c r="D77" s="3" t="s">
        <v>6</v>
      </c>
      <c r="E77" s="19" t="s">
        <v>10</v>
      </c>
    </row>
    <row r="78" spans="1:5" x14ac:dyDescent="0.25">
      <c r="A78" s="3" t="s">
        <v>83</v>
      </c>
      <c r="B78" s="3">
        <v>1164</v>
      </c>
      <c r="C78" s="5">
        <v>46184</v>
      </c>
      <c r="D78" s="3" t="s">
        <v>9</v>
      </c>
      <c r="E78" s="18" t="s">
        <v>7</v>
      </c>
    </row>
    <row r="79" spans="1:5" x14ac:dyDescent="0.25">
      <c r="A79" s="3" t="s">
        <v>84</v>
      </c>
      <c r="B79" s="3">
        <v>1165</v>
      </c>
      <c r="C79" s="5">
        <v>46185</v>
      </c>
      <c r="D79" s="3" t="s">
        <v>16</v>
      </c>
      <c r="E79" s="18" t="s">
        <v>13</v>
      </c>
    </row>
    <row r="80" spans="1:5" x14ac:dyDescent="0.25">
      <c r="A80" s="3" t="s">
        <v>85</v>
      </c>
      <c r="B80" s="3">
        <v>1166</v>
      </c>
      <c r="C80" s="5">
        <v>46186</v>
      </c>
      <c r="D80" s="3" t="s">
        <v>6</v>
      </c>
      <c r="E80" s="18" t="s">
        <v>7</v>
      </c>
    </row>
    <row r="81" spans="1:5" x14ac:dyDescent="0.25">
      <c r="A81" s="3" t="s">
        <v>86</v>
      </c>
      <c r="B81" s="3">
        <v>1167</v>
      </c>
      <c r="C81" s="5">
        <v>46187</v>
      </c>
      <c r="D81" s="3" t="s">
        <v>9</v>
      </c>
      <c r="E81" s="19" t="s">
        <v>10</v>
      </c>
    </row>
    <row r="82" spans="1:5" x14ac:dyDescent="0.25">
      <c r="A82" s="3" t="s">
        <v>87</v>
      </c>
      <c r="B82" s="3">
        <v>1168</v>
      </c>
      <c r="C82" s="5">
        <v>46188</v>
      </c>
      <c r="D82" s="3" t="s">
        <v>16</v>
      </c>
      <c r="E82" s="18" t="s">
        <v>7</v>
      </c>
    </row>
    <row r="83" spans="1:5" x14ac:dyDescent="0.25">
      <c r="A83" s="3" t="s">
        <v>88</v>
      </c>
      <c r="B83" s="3">
        <v>1169</v>
      </c>
      <c r="C83" s="5">
        <v>46189</v>
      </c>
      <c r="D83" s="3" t="s">
        <v>6</v>
      </c>
      <c r="E83" s="18" t="s">
        <v>13</v>
      </c>
    </row>
    <row r="84" spans="1:5" x14ac:dyDescent="0.25">
      <c r="A84" s="3" t="s">
        <v>89</v>
      </c>
      <c r="B84" s="3">
        <v>1170</v>
      </c>
      <c r="C84" s="5">
        <v>46190</v>
      </c>
      <c r="D84" s="3" t="s">
        <v>9</v>
      </c>
      <c r="E84" s="18" t="s">
        <v>7</v>
      </c>
    </row>
    <row r="85" spans="1:5" x14ac:dyDescent="0.25">
      <c r="A85" s="3" t="s">
        <v>90</v>
      </c>
      <c r="B85" s="3">
        <v>1171</v>
      </c>
      <c r="C85" s="5">
        <v>46191</v>
      </c>
      <c r="D85" s="3" t="s">
        <v>16</v>
      </c>
      <c r="E85" s="19" t="s">
        <v>10</v>
      </c>
    </row>
    <row r="86" spans="1:5" x14ac:dyDescent="0.25">
      <c r="A86" s="3" t="s">
        <v>91</v>
      </c>
      <c r="B86" s="3">
        <v>1172</v>
      </c>
      <c r="C86" s="5">
        <v>46192</v>
      </c>
      <c r="D86" s="3" t="s">
        <v>6</v>
      </c>
      <c r="E86" s="18" t="s">
        <v>7</v>
      </c>
    </row>
    <row r="87" spans="1:5" x14ac:dyDescent="0.25">
      <c r="A87" s="3" t="s">
        <v>92</v>
      </c>
      <c r="B87" s="3">
        <v>1173</v>
      </c>
      <c r="C87" s="5">
        <v>46193</v>
      </c>
      <c r="D87" s="3" t="s">
        <v>9</v>
      </c>
      <c r="E87" s="18" t="s">
        <v>13</v>
      </c>
    </row>
    <row r="88" spans="1:5" x14ac:dyDescent="0.25">
      <c r="A88" s="3" t="s">
        <v>93</v>
      </c>
      <c r="B88" s="3">
        <v>1174</v>
      </c>
      <c r="C88" s="5">
        <v>46194</v>
      </c>
      <c r="D88" s="3" t="s">
        <v>16</v>
      </c>
      <c r="E88" s="18" t="s">
        <v>7</v>
      </c>
    </row>
    <row r="89" spans="1:5" x14ac:dyDescent="0.25">
      <c r="A89" s="3" t="s">
        <v>94</v>
      </c>
      <c r="B89" s="3">
        <v>1175</v>
      </c>
      <c r="C89" s="5">
        <v>46195</v>
      </c>
      <c r="D89" s="3" t="s">
        <v>6</v>
      </c>
      <c r="E89" s="19" t="s">
        <v>10</v>
      </c>
    </row>
    <row r="90" spans="1:5" x14ac:dyDescent="0.25">
      <c r="A90" s="3" t="s">
        <v>95</v>
      </c>
      <c r="B90" s="3">
        <v>1176</v>
      </c>
      <c r="C90" s="5">
        <v>46196</v>
      </c>
      <c r="D90" s="3" t="s">
        <v>9</v>
      </c>
      <c r="E90" s="18" t="s">
        <v>7</v>
      </c>
    </row>
    <row r="91" spans="1:5" x14ac:dyDescent="0.25">
      <c r="A91" s="3" t="s">
        <v>96</v>
      </c>
      <c r="B91" s="3">
        <v>1177</v>
      </c>
      <c r="C91" s="5">
        <v>46197</v>
      </c>
      <c r="D91" s="3" t="s">
        <v>16</v>
      </c>
      <c r="E91" s="18" t="s">
        <v>13</v>
      </c>
    </row>
    <row r="92" spans="1:5" x14ac:dyDescent="0.25">
      <c r="A92" s="3" t="s">
        <v>97</v>
      </c>
      <c r="B92" s="3">
        <v>1178</v>
      </c>
      <c r="C92" s="5">
        <v>46198</v>
      </c>
      <c r="D92" s="3" t="s">
        <v>6</v>
      </c>
      <c r="E92" s="18" t="s">
        <v>7</v>
      </c>
    </row>
    <row r="93" spans="1:5" x14ac:dyDescent="0.25">
      <c r="A93" s="3" t="s">
        <v>98</v>
      </c>
      <c r="B93" s="3">
        <v>1179</v>
      </c>
      <c r="C93" s="5">
        <v>46199</v>
      </c>
      <c r="D93" s="3" t="s">
        <v>9</v>
      </c>
      <c r="E93" s="19" t="s">
        <v>10</v>
      </c>
    </row>
    <row r="94" spans="1:5" x14ac:dyDescent="0.25">
      <c r="A94" s="3" t="s">
        <v>99</v>
      </c>
      <c r="B94" s="3">
        <v>1180</v>
      </c>
      <c r="C94" s="5">
        <v>46200</v>
      </c>
      <c r="D94" s="3" t="s">
        <v>16</v>
      </c>
      <c r="E94" s="18" t="s">
        <v>7</v>
      </c>
    </row>
    <row r="95" spans="1:5" x14ac:dyDescent="0.25">
      <c r="A95" s="3" t="s">
        <v>100</v>
      </c>
      <c r="B95" s="3">
        <v>1181</v>
      </c>
      <c r="C95" s="5">
        <v>46201</v>
      </c>
      <c r="D95" s="3" t="s">
        <v>6</v>
      </c>
      <c r="E95" s="18" t="s">
        <v>13</v>
      </c>
    </row>
    <row r="96" spans="1:5" x14ac:dyDescent="0.25">
      <c r="A96" s="3" t="s">
        <v>101</v>
      </c>
      <c r="B96" s="3">
        <v>1182</v>
      </c>
      <c r="C96" s="5">
        <v>46202</v>
      </c>
      <c r="D96" s="3" t="s">
        <v>9</v>
      </c>
      <c r="E96" s="18" t="s">
        <v>7</v>
      </c>
    </row>
    <row r="97" spans="1:5" x14ac:dyDescent="0.25">
      <c r="A97" s="3" t="s">
        <v>102</v>
      </c>
      <c r="B97" s="3">
        <v>1183</v>
      </c>
      <c r="C97" s="5">
        <v>46203</v>
      </c>
      <c r="D97" s="3" t="s">
        <v>16</v>
      </c>
      <c r="E97" s="19" t="s">
        <v>10</v>
      </c>
    </row>
    <row r="98" spans="1:5" x14ac:dyDescent="0.25">
      <c r="A98" s="3" t="s">
        <v>103</v>
      </c>
      <c r="B98" s="3">
        <v>1184</v>
      </c>
      <c r="C98" s="5">
        <v>46204</v>
      </c>
      <c r="D98" s="3" t="s">
        <v>6</v>
      </c>
      <c r="E98" s="18" t="s">
        <v>7</v>
      </c>
    </row>
    <row r="99" spans="1:5" x14ac:dyDescent="0.25">
      <c r="A99" s="3" t="s">
        <v>104</v>
      </c>
      <c r="B99" s="3">
        <v>1185</v>
      </c>
      <c r="C99" s="5">
        <v>46205</v>
      </c>
      <c r="D99" s="3" t="s">
        <v>9</v>
      </c>
      <c r="E99" s="18" t="s">
        <v>13</v>
      </c>
    </row>
    <row r="100" spans="1:5" x14ac:dyDescent="0.25">
      <c r="A100" s="3" t="s">
        <v>105</v>
      </c>
      <c r="B100" s="3">
        <v>1186</v>
      </c>
      <c r="C100" s="5">
        <v>46206</v>
      </c>
      <c r="D100" s="3" t="s">
        <v>16</v>
      </c>
      <c r="E100" s="18" t="s">
        <v>7</v>
      </c>
    </row>
    <row r="101" spans="1:5" x14ac:dyDescent="0.25">
      <c r="A101" s="3" t="s">
        <v>106</v>
      </c>
      <c r="B101" s="3">
        <v>1187</v>
      </c>
      <c r="C101" s="5">
        <v>46207</v>
      </c>
      <c r="D101" s="3" t="s">
        <v>107</v>
      </c>
      <c r="E101" s="18" t="s">
        <v>13</v>
      </c>
    </row>
  </sheetData>
  <conditionalFormatting sqref="E2:E101">
    <cfRule type="expression" dxfId="2" priority="1">
      <formula>$E2="Completed"</formula>
    </cfRule>
    <cfRule type="expression" dxfId="1" priority="3">
      <formula>$E2="Cancelled"</formula>
    </cfRule>
    <cfRule type="expression" dxfId="0" priority="4">
      <formula>$E2="No-show"</formula>
    </cfRule>
  </conditionalFormatting>
  <dataValidations count="1">
    <dataValidation type="list" allowBlank="1" showInputMessage="1" showErrorMessage="1" sqref="E1:E1048576" xr:uid="{0B4A11E2-AE6A-4D30-92B2-533EF7A7077E}">
      <formula1>"Completed,No-show,Cancelled"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D576E-0A04-4045-8211-7AFA0B56187A}">
  <dimension ref="A1:D23"/>
  <sheetViews>
    <sheetView workbookViewId="0">
      <pane ySplit="1" topLeftCell="A2" activePane="bottomLeft" state="frozen"/>
      <selection pane="bottomLeft" activeCell="A8" sqref="A8"/>
    </sheetView>
  </sheetViews>
  <sheetFormatPr defaultRowHeight="15" x14ac:dyDescent="0.25"/>
  <cols>
    <col min="1" max="1" width="18.85546875" bestFit="1" customWidth="1"/>
    <col min="2" max="2" width="16.140625" bestFit="1" customWidth="1"/>
    <col min="3" max="3" width="11.140625" bestFit="1" customWidth="1"/>
    <col min="4" max="5" width="9" bestFit="1" customWidth="1"/>
    <col min="6" max="6" width="15.140625" bestFit="1" customWidth="1"/>
    <col min="7" max="10" width="13" bestFit="1" customWidth="1"/>
    <col min="11" max="11" width="16.140625" bestFit="1" customWidth="1"/>
    <col min="12" max="14" width="10.85546875" bestFit="1" customWidth="1"/>
    <col min="15" max="15" width="14" bestFit="1" customWidth="1"/>
    <col min="16" max="16" width="11.28515625" bestFit="1" customWidth="1"/>
    <col min="17" max="31" width="9.42578125" bestFit="1" customWidth="1"/>
    <col min="32" max="40" width="8.42578125" bestFit="1" customWidth="1"/>
    <col min="41" max="61" width="9.42578125" bestFit="1" customWidth="1"/>
    <col min="62" max="70" width="8.42578125" bestFit="1" customWidth="1"/>
    <col min="71" max="91" width="9.42578125" bestFit="1" customWidth="1"/>
    <col min="92" max="95" width="8.42578125" bestFit="1" customWidth="1"/>
    <col min="96" max="96" width="11.28515625" bestFit="1" customWidth="1"/>
  </cols>
  <sheetData>
    <row r="1" spans="1:4" ht="26.25" x14ac:dyDescent="0.4">
      <c r="A1" s="8" t="s">
        <v>111</v>
      </c>
    </row>
    <row r="5" spans="1:4" x14ac:dyDescent="0.25">
      <c r="A5" s="9" t="s">
        <v>109</v>
      </c>
      <c r="B5" s="9" t="s">
        <v>108</v>
      </c>
      <c r="C5" s="10"/>
      <c r="D5" s="10"/>
    </row>
    <row r="6" spans="1:4" x14ac:dyDescent="0.25">
      <c r="A6" s="11" t="s">
        <v>3</v>
      </c>
      <c r="B6" s="11" t="s">
        <v>13</v>
      </c>
      <c r="C6" s="11" t="s">
        <v>7</v>
      </c>
      <c r="D6" s="11" t="s">
        <v>10</v>
      </c>
    </row>
    <row r="7" spans="1:4" x14ac:dyDescent="0.25">
      <c r="A7" s="10" t="s">
        <v>9</v>
      </c>
      <c r="B7" s="12">
        <v>9</v>
      </c>
      <c r="C7" s="12">
        <v>13</v>
      </c>
      <c r="D7" s="12">
        <v>9</v>
      </c>
    </row>
    <row r="8" spans="1:4" x14ac:dyDescent="0.25">
      <c r="A8" s="10" t="s">
        <v>107</v>
      </c>
      <c r="B8" s="12">
        <v>1</v>
      </c>
      <c r="C8" s="12">
        <v>0</v>
      </c>
      <c r="D8" s="12">
        <v>0</v>
      </c>
    </row>
    <row r="9" spans="1:4" x14ac:dyDescent="0.25">
      <c r="A9" s="10" t="s">
        <v>16</v>
      </c>
      <c r="B9" s="12">
        <v>7</v>
      </c>
      <c r="C9" s="12">
        <v>16</v>
      </c>
      <c r="D9" s="12">
        <v>6</v>
      </c>
    </row>
    <row r="10" spans="1:4" x14ac:dyDescent="0.25">
      <c r="A10" s="10" t="s">
        <v>6</v>
      </c>
      <c r="B10" s="12">
        <v>7</v>
      </c>
      <c r="C10" s="12">
        <v>15</v>
      </c>
      <c r="D10" s="12">
        <v>10</v>
      </c>
    </row>
    <row r="15" spans="1:4" x14ac:dyDescent="0.25">
      <c r="A15" s="6" t="s">
        <v>110</v>
      </c>
      <c r="B15" s="13">
        <f>COUNTIF('Appointment Tracker'!E:E,"No-show")/COUNTA('Appointment Tracker'!A2:A101)</f>
        <v>0.26</v>
      </c>
    </row>
    <row r="18" spans="1:2" x14ac:dyDescent="0.25">
      <c r="A18" s="6" t="s">
        <v>72</v>
      </c>
    </row>
    <row r="19" spans="1:2" x14ac:dyDescent="0.25">
      <c r="A19" s="7" t="s">
        <v>7</v>
      </c>
      <c r="B19" s="6">
        <f>COUNTIF('Appointment Tracker'!E2:E101,"Completed")</f>
        <v>48</v>
      </c>
    </row>
    <row r="20" spans="1:2" x14ac:dyDescent="0.25">
      <c r="A20" s="7" t="s">
        <v>10</v>
      </c>
      <c r="B20" s="6">
        <f>COUNTIF('Appointment Tracker'!E2:E101,"No-show")</f>
        <v>26</v>
      </c>
    </row>
    <row r="21" spans="1:2" x14ac:dyDescent="0.25">
      <c r="A21" s="7" t="s">
        <v>13</v>
      </c>
      <c r="B21" s="6">
        <f>COUNTIF('Appointment Tracker'!E2:E101,"Cancelled")</f>
        <v>26</v>
      </c>
    </row>
    <row r="23" spans="1:2" x14ac:dyDescent="0.25">
      <c r="A23" s="6" t="s">
        <v>71</v>
      </c>
      <c r="B23" s="6">
        <f>COUNTA('Appointment Tracker'!A2:A101)</f>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57cc737-6f74-4002-ac9b-5c8c71d7d66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124A9A76F3EE43B1315746C2E779EF" ma:contentTypeVersion="6" ma:contentTypeDescription="Create a new document." ma:contentTypeScope="" ma:versionID="3bb09256296e74654527268a3c2cf060">
  <xsd:schema xmlns:xsd="http://www.w3.org/2001/XMLSchema" xmlns:xs="http://www.w3.org/2001/XMLSchema" xmlns:p="http://schemas.microsoft.com/office/2006/metadata/properties" xmlns:ns3="c57cc737-6f74-4002-ac9b-5c8c71d7d66a" targetNamespace="http://schemas.microsoft.com/office/2006/metadata/properties" ma:root="true" ma:fieldsID="76a04d382be7537f089136104753e930" ns3:_="">
    <xsd:import namespace="c57cc737-6f74-4002-ac9b-5c8c71d7d66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7cc737-6f74-4002-ac9b-5c8c71d7d66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1920D0-EC36-43FB-AB5D-9B21EC984A4B}">
  <ds:schemaRefs>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c57cc737-6f74-4002-ac9b-5c8c71d7d66a"/>
    <ds:schemaRef ds:uri="http://schemas.microsoft.com/office/2006/metadata/properties"/>
  </ds:schemaRefs>
</ds:datastoreItem>
</file>

<file path=customXml/itemProps2.xml><?xml version="1.0" encoding="utf-8"?>
<ds:datastoreItem xmlns:ds="http://schemas.openxmlformats.org/officeDocument/2006/customXml" ds:itemID="{BA8B9F2B-DAE0-46B0-B2D3-91E9A3EE9382}">
  <ds:schemaRefs>
    <ds:schemaRef ds:uri="http://schemas.microsoft.com/sharepoint/v3/contenttype/forms"/>
  </ds:schemaRefs>
</ds:datastoreItem>
</file>

<file path=customXml/itemProps3.xml><?xml version="1.0" encoding="utf-8"?>
<ds:datastoreItem xmlns:ds="http://schemas.openxmlformats.org/officeDocument/2006/customXml" ds:itemID="{953D33D1-595B-4460-9B9D-B0FAF6ACBD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7cc737-6f74-4002-ac9b-5c8c71d7d6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Appointment Tracker</vt:lpstr>
      <vt:lpstr>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Nitika Bhandari</dc:creator>
  <cp:lastModifiedBy>Nitika Bhandari</cp:lastModifiedBy>
  <dcterms:created xsi:type="dcterms:W3CDTF">2026-04-09T04:14:29Z</dcterms:created>
  <dcterms:modified xsi:type="dcterms:W3CDTF">2026-04-10T02:30:04Z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0x010100D5124A9A76F3EE43B1315746C2E779EF</vt:lpwstr>
  </property>
</Properties>
</file>